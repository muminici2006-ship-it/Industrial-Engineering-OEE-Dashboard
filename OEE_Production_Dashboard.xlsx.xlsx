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a782a50c01eec1/Masaüstü/"/>
    </mc:Choice>
  </mc:AlternateContent>
  <xr:revisionPtr revIDLastSave="1" documentId="8_{8EFC5735-9335-40DB-A8AD-890990499AA7}" xr6:coauthVersionLast="47" xr6:coauthVersionMax="47" xr10:uidLastSave="{3BADEA9F-E59F-4B71-99E5-C7811C7CA71E}"/>
  <bookViews>
    <workbookView xWindow="-108" yWindow="-108" windowWidth="23256" windowHeight="12456" activeTab="1" xr2:uid="{BF303068-A807-44FD-8F14-0A117B14CF77}"/>
  </bookViews>
  <sheets>
    <sheet name="DATABASE" sheetId="1" r:id="rId1"/>
    <sheet name="DASHBOARD" sheetId="2" r:id="rId2"/>
    <sheet name="ANALİZ" sheetId="3" r:id="rId3"/>
  </sheets>
  <definedNames>
    <definedName name="Dilimleyici_MAKİNE_ID">#N/A</definedName>
    <definedName name="Dilimleyici_VARDİYA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6" i="1"/>
  <c r="K7" i="1"/>
  <c r="K8" i="1"/>
  <c r="K9" i="1"/>
  <c r="K10" i="1"/>
  <c r="K11" i="1"/>
  <c r="K12" i="1"/>
  <c r="K18" i="1"/>
  <c r="K19" i="1"/>
  <c r="K20" i="1"/>
  <c r="K21" i="1"/>
  <c r="K22" i="1"/>
  <c r="K23" i="1"/>
  <c r="K24" i="1"/>
  <c r="K25" i="1"/>
  <c r="K30" i="1"/>
  <c r="K31" i="1"/>
  <c r="K32" i="1"/>
  <c r="K33" i="1"/>
  <c r="K34" i="1"/>
  <c r="K35" i="1"/>
  <c r="K36" i="1"/>
  <c r="K37" i="1"/>
  <c r="K42" i="1"/>
  <c r="K43" i="1"/>
  <c r="K44" i="1"/>
  <c r="K45" i="1"/>
  <c r="K46" i="1"/>
  <c r="K47" i="1"/>
  <c r="K48" i="1"/>
  <c r="K49" i="1"/>
  <c r="K54" i="1"/>
  <c r="K55" i="1"/>
  <c r="K56" i="1"/>
  <c r="K57" i="1"/>
  <c r="K58" i="1"/>
  <c r="K59" i="1"/>
  <c r="K60" i="1"/>
  <c r="K61" i="1"/>
  <c r="K66" i="1"/>
  <c r="K67" i="1"/>
  <c r="K68" i="1"/>
  <c r="K69" i="1"/>
  <c r="K70" i="1"/>
  <c r="K71" i="1"/>
  <c r="K72" i="1"/>
  <c r="K73" i="1"/>
  <c r="K78" i="1"/>
  <c r="K79" i="1"/>
  <c r="K80" i="1"/>
  <c r="K81" i="1"/>
  <c r="K82" i="1"/>
  <c r="K83" i="1"/>
  <c r="K84" i="1"/>
  <c r="K85" i="1"/>
  <c r="K90" i="1"/>
  <c r="K91" i="1"/>
  <c r="K92" i="1"/>
  <c r="K93" i="1"/>
  <c r="K94" i="1"/>
  <c r="K95" i="1"/>
  <c r="K96" i="1"/>
  <c r="K97" i="1"/>
  <c r="I2" i="1"/>
  <c r="K2" i="1" s="1"/>
  <c r="I3" i="1"/>
  <c r="K3" i="1" s="1"/>
  <c r="I4" i="1"/>
  <c r="K4" i="1" s="1"/>
  <c r="I5" i="1"/>
  <c r="K5" i="1" s="1"/>
  <c r="I6" i="1"/>
  <c r="I7" i="1"/>
  <c r="I8" i="1"/>
  <c r="I9" i="1"/>
  <c r="I10" i="1"/>
  <c r="I11" i="1"/>
  <c r="I12" i="1"/>
  <c r="I13" i="1"/>
  <c r="K13" i="1" s="1"/>
  <c r="I14" i="1"/>
  <c r="K14" i="1" s="1"/>
  <c r="I15" i="1"/>
  <c r="K15" i="1" s="1"/>
  <c r="I16" i="1"/>
  <c r="K16" i="1" s="1"/>
  <c r="I17" i="1"/>
  <c r="K17" i="1" s="1"/>
  <c r="I18" i="1"/>
  <c r="I19" i="1"/>
  <c r="I20" i="1"/>
  <c r="I21" i="1"/>
  <c r="I22" i="1"/>
  <c r="I23" i="1"/>
  <c r="I24" i="1"/>
  <c r="I25" i="1"/>
  <c r="I26" i="1"/>
  <c r="K26" i="1" s="1"/>
  <c r="I27" i="1"/>
  <c r="K27" i="1" s="1"/>
  <c r="I28" i="1"/>
  <c r="K28" i="1" s="1"/>
  <c r="I29" i="1"/>
  <c r="K29" i="1" s="1"/>
  <c r="I30" i="1"/>
  <c r="I31" i="1"/>
  <c r="I32" i="1"/>
  <c r="I33" i="1"/>
  <c r="I34" i="1"/>
  <c r="I35" i="1"/>
  <c r="I36" i="1"/>
  <c r="I37" i="1"/>
  <c r="I38" i="1"/>
  <c r="K38" i="1" s="1"/>
  <c r="I39" i="1"/>
  <c r="K39" i="1" s="1"/>
  <c r="I40" i="1"/>
  <c r="K40" i="1" s="1"/>
  <c r="I41" i="1"/>
  <c r="K41" i="1" s="1"/>
  <c r="I42" i="1"/>
  <c r="I43" i="1"/>
  <c r="I44" i="1"/>
  <c r="I45" i="1"/>
  <c r="I46" i="1"/>
  <c r="I47" i="1"/>
  <c r="I48" i="1"/>
  <c r="I49" i="1"/>
  <c r="I50" i="1"/>
  <c r="K50" i="1" s="1"/>
  <c r="I51" i="1"/>
  <c r="K51" i="1" s="1"/>
  <c r="I52" i="1"/>
  <c r="K52" i="1" s="1"/>
  <c r="I53" i="1"/>
  <c r="K53" i="1" s="1"/>
  <c r="I54" i="1"/>
  <c r="I55" i="1"/>
  <c r="I56" i="1"/>
  <c r="I57" i="1"/>
  <c r="I58" i="1"/>
  <c r="I59" i="1"/>
  <c r="I60" i="1"/>
  <c r="I61" i="1"/>
  <c r="I62" i="1"/>
  <c r="K62" i="1" s="1"/>
  <c r="I63" i="1"/>
  <c r="K63" i="1" s="1"/>
  <c r="I64" i="1"/>
  <c r="K64" i="1" s="1"/>
  <c r="I65" i="1"/>
  <c r="K65" i="1" s="1"/>
  <c r="I66" i="1"/>
  <c r="I67" i="1"/>
  <c r="I68" i="1"/>
  <c r="I69" i="1"/>
  <c r="I70" i="1"/>
  <c r="I71" i="1"/>
  <c r="I72" i="1"/>
  <c r="I73" i="1"/>
  <c r="I74" i="1"/>
  <c r="K74" i="1" s="1"/>
  <c r="I75" i="1"/>
  <c r="K75" i="1" s="1"/>
  <c r="I76" i="1"/>
  <c r="K76" i="1" s="1"/>
  <c r="I77" i="1"/>
  <c r="K77" i="1" s="1"/>
  <c r="I78" i="1"/>
  <c r="I79" i="1"/>
  <c r="I80" i="1"/>
  <c r="I81" i="1"/>
  <c r="I82" i="1"/>
  <c r="I83" i="1"/>
  <c r="I84" i="1"/>
  <c r="I85" i="1"/>
  <c r="I86" i="1"/>
  <c r="K86" i="1" s="1"/>
  <c r="I87" i="1"/>
  <c r="K87" i="1" s="1"/>
  <c r="I88" i="1"/>
  <c r="K88" i="1" s="1"/>
  <c r="I89" i="1"/>
  <c r="K89" i="1" s="1"/>
  <c r="I90" i="1"/>
  <c r="I91" i="1"/>
  <c r="I92" i="1"/>
  <c r="I93" i="1"/>
  <c r="I94" i="1"/>
  <c r="I95" i="1"/>
  <c r="I96" i="1"/>
  <c r="I97" i="1"/>
  <c r="I98" i="1"/>
  <c r="K98" i="1" s="1"/>
  <c r="I99" i="1"/>
  <c r="K99" i="1" s="1"/>
  <c r="I100" i="1"/>
  <c r="K100" i="1" s="1"/>
  <c r="I101" i="1"/>
  <c r="K101" i="1" s="1"/>
  <c r="H2" i="1"/>
  <c r="J2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J97" i="1" s="1"/>
  <c r="H98" i="1"/>
  <c r="J98" i="1" s="1"/>
  <c r="H99" i="1"/>
  <c r="J99" i="1" s="1"/>
  <c r="H100" i="1"/>
  <c r="J100" i="1" s="1"/>
  <c r="H101" i="1"/>
  <c r="J101" i="1" s="1"/>
</calcChain>
</file>

<file path=xl/sharedStrings.xml><?xml version="1.0" encoding="utf-8"?>
<sst xmlns="http://schemas.openxmlformats.org/spreadsheetml/2006/main" count="221" uniqueCount="22">
  <si>
    <t>TARİH</t>
  </si>
  <si>
    <t>VARDİYA</t>
  </si>
  <si>
    <t>MAKİNE_ID</t>
  </si>
  <si>
    <t>PLANLI_SÜRE</t>
  </si>
  <si>
    <t>DURUŞ_SÜRE</t>
  </si>
  <si>
    <t>TOPLAM ÜRETİM</t>
  </si>
  <si>
    <t>HATALI ÜRETİM</t>
  </si>
  <si>
    <t>CNC-3</t>
  </si>
  <si>
    <t>08:00-16:00</t>
  </si>
  <si>
    <t>CNC-2</t>
  </si>
  <si>
    <t>16:00-24:00</t>
  </si>
  <si>
    <t>CNC-1</t>
  </si>
  <si>
    <t>NET SÜRE</t>
  </si>
  <si>
    <t>SAĞLAM ÜRETİM</t>
  </si>
  <si>
    <t>KULLANILABİLİRLİK</t>
  </si>
  <si>
    <t>KALİTE ORANI</t>
  </si>
  <si>
    <t>OEE</t>
  </si>
  <si>
    <t>Satır Etiketleri</t>
  </si>
  <si>
    <t>Genel Toplam</t>
  </si>
  <si>
    <t>Ortalama OEE</t>
  </si>
  <si>
    <t>Toplam TOPLAM ÜRETİM</t>
  </si>
  <si>
    <t>Toplam HATALI ÜRETİM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</si>
</sst>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Yüzde" xfId="1" builtinId="5"/>
  </cellStyles>
  <dxfs count="5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[PROJE1.xlsx]ANALİZ!PivotTable1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MAKİNE</a:t>
            </a:r>
            <a:r>
              <a:rPr lang="tr-TR"/>
              <a:t>LERE GÖRE OEE PERFORMANSI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ANALİZ!$B$1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ANALİZ!$A$2:$A$5</c:f>
              <c:strCache>
                <c:ptCount val="3"/>
                <c:pt idx="0">
                  <c:v>CNC-1</c:v>
                </c:pt>
                <c:pt idx="1">
                  <c:v>CNC-2</c:v>
                </c:pt>
                <c:pt idx="2">
                  <c:v>CNC-3</c:v>
                </c:pt>
              </c:strCache>
            </c:strRef>
          </c:cat>
          <c:val>
            <c:numRef>
              <c:f>ANALİZ!$B$2:$B$5</c:f>
              <c:numCache>
                <c:formatCode>0%</c:formatCode>
                <c:ptCount val="3"/>
                <c:pt idx="0">
                  <c:v>0.87897399412114918</c:v>
                </c:pt>
                <c:pt idx="1">
                  <c:v>0.89840914773653535</c:v>
                </c:pt>
                <c:pt idx="2">
                  <c:v>0.90029854402515563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C-4D60-B720-7024AFBAE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441184"/>
        <c:axId val="1274429664"/>
      </c:barChart>
      <c:catAx>
        <c:axId val="127444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74429664"/>
        <c:crosses val="autoZero"/>
        <c:auto val="1"/>
        <c:lblAlgn val="ctr"/>
        <c:lblOffset val="100"/>
        <c:noMultiLvlLbl val="0"/>
      </c:catAx>
      <c:valAx>
        <c:axId val="127442966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7444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</xdr:row>
      <xdr:rowOff>38100</xdr:rowOff>
    </xdr:from>
    <xdr:to>
      <xdr:col>7</xdr:col>
      <xdr:colOff>441960</xdr:colOff>
      <xdr:row>16</xdr:row>
      <xdr:rowOff>38100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7386E48-BAF1-4F3B-BE12-F752C3137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457200</xdr:colOff>
      <xdr:row>1</xdr:row>
      <xdr:rowOff>45720</xdr:rowOff>
    </xdr:from>
    <xdr:to>
      <xdr:col>10</xdr:col>
      <xdr:colOff>457200</xdr:colOff>
      <xdr:row>16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AKİNE_ID">
              <a:extLst>
                <a:ext uri="{FF2B5EF4-FFF2-40B4-BE49-F238E27FC236}">
                  <a16:creationId xmlns:a16="http://schemas.microsoft.com/office/drawing/2014/main" id="{C6F8A34C-F0C3-59CE-4F4C-D9A024A092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KİNE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228600"/>
              <a:ext cx="1828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472440</xdr:colOff>
      <xdr:row>1</xdr:row>
      <xdr:rowOff>45720</xdr:rowOff>
    </xdr:from>
    <xdr:to>
      <xdr:col>13</xdr:col>
      <xdr:colOff>472440</xdr:colOff>
      <xdr:row>16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VARDİYA">
              <a:extLst>
                <a:ext uri="{FF2B5EF4-FFF2-40B4-BE49-F238E27FC236}">
                  <a16:creationId xmlns:a16="http://schemas.microsoft.com/office/drawing/2014/main" id="{829EE882-BF64-4F7C-4227-CCF546CD2B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RDİY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8440" y="228600"/>
              <a:ext cx="1828800" cy="2735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1</xdr:col>
      <xdr:colOff>518160</xdr:colOff>
      <xdr:row>17</xdr:row>
      <xdr:rowOff>91440</xdr:rowOff>
    </xdr:from>
    <xdr:to>
      <xdr:col>5</xdr:col>
      <xdr:colOff>53340</xdr:colOff>
      <xdr:row>19</xdr:row>
      <xdr:rowOff>91440</xdr:rowOff>
    </xdr:to>
    <xdr:sp macro="" textlink="ANALİZ!C2">
      <xdr:nvSpPr>
        <xdr:cNvPr id="7" name="Dikdörtgen 6">
          <a:extLst>
            <a:ext uri="{FF2B5EF4-FFF2-40B4-BE49-F238E27FC236}">
              <a16:creationId xmlns:a16="http://schemas.microsoft.com/office/drawing/2014/main" id="{A994E1AD-6786-3D39-1114-98097A5666BC}"/>
            </a:ext>
          </a:extLst>
        </xdr:cNvPr>
        <xdr:cNvSpPr/>
      </xdr:nvSpPr>
      <xdr:spPr>
        <a:xfrm>
          <a:off x="1127760" y="3200400"/>
          <a:ext cx="1973580" cy="36576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D80F466-4B58-4529-8B9D-8446F476B07E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21169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518160</xdr:colOff>
      <xdr:row>16</xdr:row>
      <xdr:rowOff>45720</xdr:rowOff>
    </xdr:from>
    <xdr:to>
      <xdr:col>5</xdr:col>
      <xdr:colOff>53340</xdr:colOff>
      <xdr:row>17</xdr:row>
      <xdr:rowOff>91440</xdr:rowOff>
    </xdr:to>
    <xdr:sp macro="" textlink="">
      <xdr:nvSpPr>
        <xdr:cNvPr id="9" name="Dikdörtgen 8">
          <a:extLst>
            <a:ext uri="{FF2B5EF4-FFF2-40B4-BE49-F238E27FC236}">
              <a16:creationId xmlns:a16="http://schemas.microsoft.com/office/drawing/2014/main" id="{E4FE29A2-E97F-F230-00ED-1924D4860CE5}"/>
            </a:ext>
          </a:extLst>
        </xdr:cNvPr>
        <xdr:cNvSpPr/>
      </xdr:nvSpPr>
      <xdr:spPr>
        <a:xfrm>
          <a:off x="1127760" y="2971800"/>
          <a:ext cx="1973580" cy="2286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100"/>
            <a:t>TOPLAM ÜRETİM ADEDİ</a:t>
          </a:r>
        </a:p>
      </xdr:txBody>
    </xdr:sp>
    <xdr:clientData/>
  </xdr:twoCellAnchor>
  <xdr:twoCellAnchor>
    <xdr:from>
      <xdr:col>5</xdr:col>
      <xdr:colOff>594360</xdr:colOff>
      <xdr:row>17</xdr:row>
      <xdr:rowOff>99060</xdr:rowOff>
    </xdr:from>
    <xdr:to>
      <xdr:col>9</xdr:col>
      <xdr:colOff>152400</xdr:colOff>
      <xdr:row>19</xdr:row>
      <xdr:rowOff>91440</xdr:rowOff>
    </xdr:to>
    <xdr:sp macro="" textlink="ANALİZ!D2">
      <xdr:nvSpPr>
        <xdr:cNvPr id="3" name="Dikdörtgen 2">
          <a:extLst>
            <a:ext uri="{FF2B5EF4-FFF2-40B4-BE49-F238E27FC236}">
              <a16:creationId xmlns:a16="http://schemas.microsoft.com/office/drawing/2014/main" id="{972D69D6-EB34-90A1-8C92-E25D3E8347D1}"/>
            </a:ext>
          </a:extLst>
        </xdr:cNvPr>
        <xdr:cNvSpPr/>
      </xdr:nvSpPr>
      <xdr:spPr>
        <a:xfrm>
          <a:off x="3642360" y="3208020"/>
          <a:ext cx="1996440" cy="35814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A4A00A8-5B2E-4ED3-8494-61A07F639AB2}" type="TxLink">
            <a:rPr lang="en-US" sz="2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377</a:t>
          </a:fld>
          <a:endParaRPr lang="en-US" sz="2000" b="0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  <a:p>
          <a:pPr algn="ctr"/>
          <a:endParaRPr lang="tr-TR" sz="20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594360</xdr:colOff>
      <xdr:row>16</xdr:row>
      <xdr:rowOff>45720</xdr:rowOff>
    </xdr:from>
    <xdr:to>
      <xdr:col>9</xdr:col>
      <xdr:colOff>152400</xdr:colOff>
      <xdr:row>17</xdr:row>
      <xdr:rowOff>106680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F243FEE9-C54A-2825-B3D0-C2A9CB68D46B}"/>
            </a:ext>
          </a:extLst>
        </xdr:cNvPr>
        <xdr:cNvSpPr/>
      </xdr:nvSpPr>
      <xdr:spPr>
        <a:xfrm>
          <a:off x="3642360" y="2971800"/>
          <a:ext cx="1996440" cy="24384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100"/>
            <a:t>HATALI ÜRETİM SAYISI</a:t>
          </a:r>
        </a:p>
      </xdr:txBody>
    </xdr:sp>
    <xdr:clientData/>
  </xdr:twoCellAnchor>
  <xdr:twoCellAnchor>
    <xdr:from>
      <xdr:col>10</xdr:col>
      <xdr:colOff>76200</xdr:colOff>
      <xdr:row>17</xdr:row>
      <xdr:rowOff>68580</xdr:rowOff>
    </xdr:from>
    <xdr:to>
      <xdr:col>13</xdr:col>
      <xdr:colOff>22860</xdr:colOff>
      <xdr:row>19</xdr:row>
      <xdr:rowOff>83820</xdr:rowOff>
    </xdr:to>
    <xdr:sp macro="" textlink="ANALİZ!E2">
      <xdr:nvSpPr>
        <xdr:cNvPr id="8" name="Dikdörtgen 7">
          <a:extLst>
            <a:ext uri="{FF2B5EF4-FFF2-40B4-BE49-F238E27FC236}">
              <a16:creationId xmlns:a16="http://schemas.microsoft.com/office/drawing/2014/main" id="{4AB3423F-DD3B-D8E0-F0F4-3F85DC4C9435}"/>
            </a:ext>
          </a:extLst>
        </xdr:cNvPr>
        <xdr:cNvSpPr/>
      </xdr:nvSpPr>
      <xdr:spPr>
        <a:xfrm>
          <a:off x="6172200" y="3177540"/>
          <a:ext cx="1775460" cy="3810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192E307-5E5B-4BAB-AEAC-3EDC2BB47B8E}" type="TxLink">
            <a:rPr lang="en-US" sz="20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tr-TR" sz="20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76200</xdr:colOff>
      <xdr:row>16</xdr:row>
      <xdr:rowOff>45720</xdr:rowOff>
    </xdr:from>
    <xdr:to>
      <xdr:col>13</xdr:col>
      <xdr:colOff>22860</xdr:colOff>
      <xdr:row>17</xdr:row>
      <xdr:rowOff>114300</xdr:rowOff>
    </xdr:to>
    <xdr:sp macro="" textlink="">
      <xdr:nvSpPr>
        <xdr:cNvPr id="10" name="Dikdörtgen 9">
          <a:extLst>
            <a:ext uri="{FF2B5EF4-FFF2-40B4-BE49-F238E27FC236}">
              <a16:creationId xmlns:a16="http://schemas.microsoft.com/office/drawing/2014/main" id="{822A662C-15DD-025F-4036-E4308BC161E8}"/>
            </a:ext>
          </a:extLst>
        </xdr:cNvPr>
        <xdr:cNvSpPr/>
      </xdr:nvSpPr>
      <xdr:spPr>
        <a:xfrm>
          <a:off x="6172200" y="2971800"/>
          <a:ext cx="1775460" cy="25146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r-TR" sz="1100"/>
            <a:t>GENEL OEE SKORU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91440</xdr:colOff>
      <xdr:row>14</xdr:row>
      <xdr:rowOff>60960</xdr:rowOff>
    </xdr:from>
    <xdr:ext cx="184731" cy="264560"/>
    <xdr:sp macro="" textlink="">
      <xdr:nvSpPr>
        <xdr:cNvPr id="4" name="Metin kutusu 3">
          <a:extLst>
            <a:ext uri="{FF2B5EF4-FFF2-40B4-BE49-F238E27FC236}">
              <a16:creationId xmlns:a16="http://schemas.microsoft.com/office/drawing/2014/main" id="{FBFF0F0D-123B-1DBF-CA96-525625751BD7}"/>
            </a:ext>
          </a:extLst>
        </xdr:cNvPr>
        <xdr:cNvSpPr txBox="1"/>
      </xdr:nvSpPr>
      <xdr:spPr>
        <a:xfrm>
          <a:off x="8260080" y="26212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r-TR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51.634689699073" createdVersion="8" refreshedVersion="8" minRefreshableVersion="3" recordCount="100" xr:uid="{992BC92E-B045-4801-B457-B9AE8D717848}">
  <cacheSource type="worksheet">
    <worksheetSource name="Tablo1"/>
  </cacheSource>
  <cacheFields count="12">
    <cacheField name="TARİH" numFmtId="14">
      <sharedItems containsSemiMixedTypes="0" containsNonDate="0" containsDate="1" containsString="0" minDate="2026-01-01T00:00:00" maxDate="2026-02-01T00:00:00"/>
    </cacheField>
    <cacheField name="MAKİNE_ID" numFmtId="0">
      <sharedItems count="3">
        <s v="CNC-1"/>
        <s v="CNC-3"/>
        <s v="CNC-2"/>
      </sharedItems>
    </cacheField>
    <cacheField name="VARDİYA" numFmtId="0">
      <sharedItems count="2">
        <s v="16:00-24:00"/>
        <s v="08:00-16:00"/>
      </sharedItems>
    </cacheField>
    <cacheField name="PLANLI_SÜRE" numFmtId="0">
      <sharedItems containsSemiMixedTypes="0" containsString="0" containsNumber="1" containsInteger="1" minValue="480" maxValue="579"/>
    </cacheField>
    <cacheField name="DURUŞ_SÜRE" numFmtId="0">
      <sharedItems containsSemiMixedTypes="0" containsString="0" containsNumber="1" containsInteger="1" minValue="4" maxValue="90"/>
    </cacheField>
    <cacheField name="TOPLAM ÜRETİM" numFmtId="0">
      <sharedItems containsSemiMixedTypes="0" containsString="0" containsNumber="1" containsInteger="1" minValue="301" maxValue="500"/>
    </cacheField>
    <cacheField name="HATALI ÜRETİM" numFmtId="0">
      <sharedItems containsSemiMixedTypes="0" containsString="0" containsNumber="1" containsInteger="1" minValue="0" maxValue="15"/>
    </cacheField>
    <cacheField name="NET SÜRE" numFmtId="0">
      <sharedItems containsSemiMixedTypes="0" containsString="0" containsNumber="1" containsInteger="1" minValue="406" maxValue="572"/>
    </cacheField>
    <cacheField name="SAĞLAM ÜRETİM" numFmtId="0">
      <sharedItems containsSemiMixedTypes="0" containsString="0" containsNumber="1" containsInteger="1" minValue="290" maxValue="499"/>
    </cacheField>
    <cacheField name="KULLANILABİLİRLİK" numFmtId="9">
      <sharedItems containsSemiMixedTypes="0" containsString="0" containsNumber="1" minValue="0.82583170254403127" maxValue="0.99277978339350181"/>
    </cacheField>
    <cacheField name="KALİTE ORANI" numFmtId="9">
      <sharedItems containsSemiMixedTypes="0" containsString="0" containsNumber="1" minValue="0.95161290322580649" maxValue="1"/>
    </cacheField>
    <cacheField name="OEE" numFmtId="9">
      <sharedItems containsSemiMixedTypes="0" containsString="0" containsNumber="1" minValue="0.80053270071554894" maxValue="0.98406457284424198"/>
    </cacheField>
  </cacheFields>
  <extLst>
    <ext xmlns:x14="http://schemas.microsoft.com/office/spreadsheetml/2009/9/main" uri="{725AE2AE-9491-48be-B2B4-4EB974FC3084}">
      <x14:pivotCacheDefinition pivotCacheId="1895004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6-01-01T00:00:00"/>
    <x v="0"/>
    <x v="0"/>
    <n v="480"/>
    <n v="74"/>
    <n v="380"/>
    <n v="6"/>
    <n v="406"/>
    <n v="374"/>
    <n v="0.84583333333333333"/>
    <n v="0.98421052631578942"/>
    <n v="0.83247807017543851"/>
  </r>
  <r>
    <d v="2026-01-28T00:00:00"/>
    <x v="1"/>
    <x v="1"/>
    <n v="481"/>
    <n v="53"/>
    <n v="327"/>
    <n v="11"/>
    <n v="428"/>
    <n v="316"/>
    <n v="0.88981288981288986"/>
    <n v="0.96636085626911317"/>
    <n v="0.85988034611887831"/>
  </r>
  <r>
    <d v="2026-01-22T00:00:00"/>
    <x v="0"/>
    <x v="1"/>
    <n v="482"/>
    <n v="17"/>
    <n v="384"/>
    <n v="13"/>
    <n v="465"/>
    <n v="371"/>
    <n v="0.96473029045643155"/>
    <n v="0.96614583333333337"/>
    <n v="0.93207015041493779"/>
  </r>
  <r>
    <d v="2026-01-25T00:00:00"/>
    <x v="2"/>
    <x v="0"/>
    <n v="483"/>
    <n v="40"/>
    <n v="465"/>
    <n v="15"/>
    <n v="443"/>
    <n v="450"/>
    <n v="0.917184265010352"/>
    <n v="0.967741935483871"/>
    <n v="0.88759767581646964"/>
  </r>
  <r>
    <d v="2026-01-11T00:00:00"/>
    <x v="0"/>
    <x v="0"/>
    <n v="484"/>
    <n v="5"/>
    <n v="428"/>
    <n v="9"/>
    <n v="479"/>
    <n v="419"/>
    <n v="0.98966942148760328"/>
    <n v="0.9789719626168224"/>
    <n v="0.9688586158955742"/>
  </r>
  <r>
    <d v="2026-01-12T00:00:00"/>
    <x v="0"/>
    <x v="1"/>
    <n v="485"/>
    <n v="4"/>
    <n v="387"/>
    <n v="3"/>
    <n v="481"/>
    <n v="384"/>
    <n v="0.99175257731958766"/>
    <n v="0.99224806201550386"/>
    <n v="0.98406457284424198"/>
  </r>
  <r>
    <d v="2026-01-11T00:00:00"/>
    <x v="2"/>
    <x v="0"/>
    <n v="486"/>
    <n v="55"/>
    <n v="407"/>
    <n v="3"/>
    <n v="431"/>
    <n v="404"/>
    <n v="0.88683127572016462"/>
    <n v="0.99262899262899262"/>
    <n v="0.88029443584999145"/>
  </r>
  <r>
    <d v="2026-01-25T00:00:00"/>
    <x v="0"/>
    <x v="0"/>
    <n v="487"/>
    <n v="43"/>
    <n v="491"/>
    <n v="15"/>
    <n v="444"/>
    <n v="476"/>
    <n v="0.9117043121149897"/>
    <n v="0.96945010183299385"/>
    <n v="0.88385183822145641"/>
  </r>
  <r>
    <d v="2026-01-16T00:00:00"/>
    <x v="1"/>
    <x v="1"/>
    <n v="488"/>
    <n v="58"/>
    <n v="441"/>
    <n v="8"/>
    <n v="430"/>
    <n v="433"/>
    <n v="0.88114754098360659"/>
    <n v="0.98185941043083902"/>
    <n v="0.86516300509274757"/>
  </r>
  <r>
    <d v="2026-01-03T00:00:00"/>
    <x v="0"/>
    <x v="1"/>
    <n v="489"/>
    <n v="14"/>
    <n v="327"/>
    <n v="5"/>
    <n v="475"/>
    <n v="322"/>
    <n v="0.97137014314928427"/>
    <n v="0.98470948012232418"/>
    <n v="0.9565173886668793"/>
  </r>
  <r>
    <d v="2026-01-31T00:00:00"/>
    <x v="1"/>
    <x v="1"/>
    <n v="490"/>
    <n v="56"/>
    <n v="412"/>
    <n v="2"/>
    <n v="434"/>
    <n v="410"/>
    <n v="0.88571428571428568"/>
    <n v="0.99514563106796117"/>
    <n v="0.88141470180305126"/>
  </r>
  <r>
    <d v="2026-01-17T00:00:00"/>
    <x v="2"/>
    <x v="0"/>
    <n v="491"/>
    <n v="74"/>
    <n v="470"/>
    <n v="14"/>
    <n v="417"/>
    <n v="456"/>
    <n v="0.84928716904276991"/>
    <n v="0.97021276595744677"/>
    <n v="0.82398925336915541"/>
  </r>
  <r>
    <d v="2026-01-19T00:00:00"/>
    <x v="1"/>
    <x v="1"/>
    <n v="492"/>
    <n v="20"/>
    <n v="331"/>
    <n v="3"/>
    <n v="472"/>
    <n v="328"/>
    <n v="0.95934959349593496"/>
    <n v="0.99093655589123864"/>
    <n v="0.95065458207452158"/>
  </r>
  <r>
    <d v="2026-01-25T00:00:00"/>
    <x v="0"/>
    <x v="0"/>
    <n v="493"/>
    <n v="34"/>
    <n v="408"/>
    <n v="10"/>
    <n v="459"/>
    <n v="398"/>
    <n v="0.93103448275862066"/>
    <n v="0.97549019607843135"/>
    <n v="0.9082150101419878"/>
  </r>
  <r>
    <d v="2026-01-27T00:00:00"/>
    <x v="1"/>
    <x v="1"/>
    <n v="494"/>
    <n v="38"/>
    <n v="488"/>
    <n v="13"/>
    <n v="456"/>
    <n v="475"/>
    <n v="0.92307692307692313"/>
    <n v="0.97336065573770492"/>
    <n v="0.89848675914249687"/>
  </r>
  <r>
    <d v="2026-01-19T00:00:00"/>
    <x v="2"/>
    <x v="1"/>
    <n v="495"/>
    <n v="68"/>
    <n v="414"/>
    <n v="1"/>
    <n v="427"/>
    <n v="413"/>
    <n v="0.86262626262626263"/>
    <n v="0.99758454106280192"/>
    <n v="0.86054262431074025"/>
  </r>
  <r>
    <d v="2026-01-18T00:00:00"/>
    <x v="1"/>
    <x v="1"/>
    <n v="496"/>
    <n v="29"/>
    <n v="483"/>
    <n v="11"/>
    <n v="467"/>
    <n v="472"/>
    <n v="0.94153225806451613"/>
    <n v="0.97722567287784678"/>
    <n v="0.92008949442329524"/>
  </r>
  <r>
    <d v="2026-01-17T00:00:00"/>
    <x v="2"/>
    <x v="1"/>
    <n v="497"/>
    <n v="62"/>
    <n v="458"/>
    <n v="9"/>
    <n v="435"/>
    <n v="449"/>
    <n v="0.87525150905432592"/>
    <n v="0.98034934497816595"/>
    <n v="0.85805224359255972"/>
  </r>
  <r>
    <d v="2026-01-19T00:00:00"/>
    <x v="2"/>
    <x v="1"/>
    <n v="498"/>
    <n v="46"/>
    <n v="313"/>
    <n v="8"/>
    <n v="452"/>
    <n v="305"/>
    <n v="0.90763052208835338"/>
    <n v="0.9744408945686901"/>
    <n v="0.88443229788162225"/>
  </r>
  <r>
    <d v="2026-01-24T00:00:00"/>
    <x v="0"/>
    <x v="1"/>
    <n v="499"/>
    <n v="72"/>
    <n v="398"/>
    <n v="14"/>
    <n v="427"/>
    <n v="384"/>
    <n v="0.85571142284569135"/>
    <n v="0.96482412060301503"/>
    <n v="0.82561102103704886"/>
  </r>
  <r>
    <d v="2026-01-25T00:00:00"/>
    <x v="1"/>
    <x v="1"/>
    <n v="500"/>
    <n v="22"/>
    <n v="495"/>
    <n v="9"/>
    <n v="478"/>
    <n v="486"/>
    <n v="0.95599999999999996"/>
    <n v="0.98181818181818181"/>
    <n v="0.9386181818181818"/>
  </r>
  <r>
    <d v="2026-01-26T00:00:00"/>
    <x v="0"/>
    <x v="0"/>
    <n v="501"/>
    <n v="68"/>
    <n v="362"/>
    <n v="6"/>
    <n v="433"/>
    <n v="356"/>
    <n v="0.86427145708582831"/>
    <n v="0.98342541436464093"/>
    <n v="0.84994651580816272"/>
  </r>
  <r>
    <d v="2026-01-07T00:00:00"/>
    <x v="1"/>
    <x v="0"/>
    <n v="502"/>
    <n v="43"/>
    <n v="426"/>
    <n v="0"/>
    <n v="459"/>
    <n v="426"/>
    <n v="0.91434262948207168"/>
    <n v="1"/>
    <n v="0.91434262948207168"/>
  </r>
  <r>
    <d v="2026-01-01T00:00:00"/>
    <x v="2"/>
    <x v="0"/>
    <n v="503"/>
    <n v="46"/>
    <n v="340"/>
    <n v="9"/>
    <n v="457"/>
    <n v="331"/>
    <n v="0.90854870775347918"/>
    <n v="0.97352941176470587"/>
    <n v="0.88449888901882823"/>
  </r>
  <r>
    <d v="2026-01-21T00:00:00"/>
    <x v="0"/>
    <x v="0"/>
    <n v="504"/>
    <n v="40"/>
    <n v="319"/>
    <n v="4"/>
    <n v="464"/>
    <n v="315"/>
    <n v="0.92063492063492058"/>
    <n v="0.98746081504702199"/>
    <n v="0.90909090909090906"/>
  </r>
  <r>
    <d v="2026-01-31T00:00:00"/>
    <x v="0"/>
    <x v="0"/>
    <n v="505"/>
    <n v="72"/>
    <n v="409"/>
    <n v="4"/>
    <n v="433"/>
    <n v="405"/>
    <n v="0.85742574257425741"/>
    <n v="0.99022004889975546"/>
    <n v="0.84904016073979027"/>
  </r>
  <r>
    <d v="2026-01-10T00:00:00"/>
    <x v="2"/>
    <x v="0"/>
    <n v="506"/>
    <n v="75"/>
    <n v="378"/>
    <n v="9"/>
    <n v="431"/>
    <n v="369"/>
    <n v="0.85177865612648218"/>
    <n v="0.97619047619047616"/>
    <n v="0.83149821193299445"/>
  </r>
  <r>
    <d v="2026-01-14T00:00:00"/>
    <x v="1"/>
    <x v="1"/>
    <n v="507"/>
    <n v="7"/>
    <n v="414"/>
    <n v="5"/>
    <n v="500"/>
    <n v="409"/>
    <n v="0.98619329388560162"/>
    <n v="0.98792270531400961"/>
    <n v="0.97428274685799765"/>
  </r>
  <r>
    <d v="2026-01-28T00:00:00"/>
    <x v="0"/>
    <x v="1"/>
    <n v="508"/>
    <n v="79"/>
    <n v="472"/>
    <n v="15"/>
    <n v="429"/>
    <n v="457"/>
    <n v="0.84448818897637801"/>
    <n v="0.96822033898305082"/>
    <n v="0.81765064059789139"/>
  </r>
  <r>
    <d v="2026-01-20T00:00:00"/>
    <x v="2"/>
    <x v="1"/>
    <n v="509"/>
    <n v="52"/>
    <n v="440"/>
    <n v="0"/>
    <n v="457"/>
    <n v="440"/>
    <n v="0.89783889980353637"/>
    <n v="1"/>
    <n v="0.89783889980353637"/>
  </r>
  <r>
    <d v="2026-01-19T00:00:00"/>
    <x v="1"/>
    <x v="1"/>
    <n v="510"/>
    <n v="85"/>
    <n v="365"/>
    <n v="12"/>
    <n v="425"/>
    <n v="353"/>
    <n v="0.83333333333333337"/>
    <n v="0.9671232876712329"/>
    <n v="0.80593607305936077"/>
  </r>
  <r>
    <d v="2026-01-15T00:00:00"/>
    <x v="0"/>
    <x v="1"/>
    <n v="511"/>
    <n v="89"/>
    <n v="457"/>
    <n v="14"/>
    <n v="422"/>
    <n v="443"/>
    <n v="0.82583170254403127"/>
    <n v="0.96936542669584247"/>
    <n v="0.80053270071554894"/>
  </r>
  <r>
    <d v="2026-01-16T00:00:00"/>
    <x v="1"/>
    <x v="1"/>
    <n v="512"/>
    <n v="49"/>
    <n v="457"/>
    <n v="4"/>
    <n v="463"/>
    <n v="453"/>
    <n v="0.904296875"/>
    <n v="0.99124726477024072"/>
    <n v="0.89638180388402633"/>
  </r>
  <r>
    <d v="2026-01-31T00:00:00"/>
    <x v="1"/>
    <x v="1"/>
    <n v="513"/>
    <n v="25"/>
    <n v="301"/>
    <n v="3"/>
    <n v="488"/>
    <n v="298"/>
    <n v="0.95126705653021437"/>
    <n v="0.99003322259136217"/>
    <n v="0.94178598952160764"/>
  </r>
  <r>
    <d v="2026-01-21T00:00:00"/>
    <x v="1"/>
    <x v="0"/>
    <n v="514"/>
    <n v="59"/>
    <n v="443"/>
    <n v="15"/>
    <n v="455"/>
    <n v="428"/>
    <n v="0.88521400778210113"/>
    <n v="0.96613995485327309"/>
    <n v="0.85524062151408409"/>
  </r>
  <r>
    <d v="2026-01-04T00:00:00"/>
    <x v="2"/>
    <x v="1"/>
    <n v="515"/>
    <n v="10"/>
    <n v="496"/>
    <n v="6"/>
    <n v="505"/>
    <n v="490"/>
    <n v="0.98058252427184467"/>
    <n v="0.98790322580645162"/>
    <n v="0.96872063889758853"/>
  </r>
  <r>
    <d v="2026-01-12T00:00:00"/>
    <x v="2"/>
    <x v="0"/>
    <n v="516"/>
    <n v="78"/>
    <n v="349"/>
    <n v="1"/>
    <n v="438"/>
    <n v="348"/>
    <n v="0.84883720930232553"/>
    <n v="0.99713467048710602"/>
    <n v="0.84640501099486898"/>
  </r>
  <r>
    <d v="2026-01-04T00:00:00"/>
    <x v="2"/>
    <x v="1"/>
    <n v="517"/>
    <n v="20"/>
    <n v="401"/>
    <n v="6"/>
    <n v="497"/>
    <n v="395"/>
    <n v="0.96131528046421666"/>
    <n v="0.98503740648379057"/>
    <n v="0.94693151068170967"/>
  </r>
  <r>
    <d v="2026-01-09T00:00:00"/>
    <x v="1"/>
    <x v="0"/>
    <n v="518"/>
    <n v="71"/>
    <n v="472"/>
    <n v="1"/>
    <n v="447"/>
    <n v="471"/>
    <n v="0.86293436293436299"/>
    <n v="0.9978813559322034"/>
    <n v="0.8611061121654342"/>
  </r>
  <r>
    <d v="2026-01-15T00:00:00"/>
    <x v="0"/>
    <x v="1"/>
    <n v="519"/>
    <n v="33"/>
    <n v="347"/>
    <n v="11"/>
    <n v="486"/>
    <n v="336"/>
    <n v="0.93641618497109824"/>
    <n v="0.96829971181556196"/>
    <n v="0.90673152204694241"/>
  </r>
  <r>
    <d v="2026-01-21T00:00:00"/>
    <x v="0"/>
    <x v="0"/>
    <n v="520"/>
    <n v="9"/>
    <n v="393"/>
    <n v="2"/>
    <n v="511"/>
    <n v="391"/>
    <n v="0.98269230769230764"/>
    <n v="0.99491094147582693"/>
    <n v="0.97769132902720679"/>
  </r>
  <r>
    <d v="2026-01-13T00:00:00"/>
    <x v="1"/>
    <x v="1"/>
    <n v="521"/>
    <n v="69"/>
    <n v="339"/>
    <n v="0"/>
    <n v="452"/>
    <n v="339"/>
    <n v="0.8675623800383877"/>
    <n v="1"/>
    <n v="0.8675623800383877"/>
  </r>
  <r>
    <d v="2026-01-11T00:00:00"/>
    <x v="0"/>
    <x v="1"/>
    <n v="522"/>
    <n v="25"/>
    <n v="349"/>
    <n v="0"/>
    <n v="497"/>
    <n v="349"/>
    <n v="0.95210727969348663"/>
    <n v="1"/>
    <n v="0.95210727969348663"/>
  </r>
  <r>
    <d v="2026-01-24T00:00:00"/>
    <x v="0"/>
    <x v="0"/>
    <n v="523"/>
    <n v="50"/>
    <n v="412"/>
    <n v="14"/>
    <n v="473"/>
    <n v="398"/>
    <n v="0.90439770554493304"/>
    <n v="0.96601941747572817"/>
    <n v="0.87366574467690139"/>
  </r>
  <r>
    <d v="2026-01-22T00:00:00"/>
    <x v="1"/>
    <x v="1"/>
    <n v="524"/>
    <n v="57"/>
    <n v="395"/>
    <n v="5"/>
    <n v="467"/>
    <n v="390"/>
    <n v="0.89122137404580148"/>
    <n v="0.98734177215189878"/>
    <n v="0.87994009083003188"/>
  </r>
  <r>
    <d v="2026-01-23T00:00:00"/>
    <x v="0"/>
    <x v="1"/>
    <n v="525"/>
    <n v="47"/>
    <n v="385"/>
    <n v="14"/>
    <n v="478"/>
    <n v="371"/>
    <n v="0.91047619047619044"/>
    <n v="0.96363636363636362"/>
    <n v="0.87736796536796535"/>
  </r>
  <r>
    <d v="2026-01-19T00:00:00"/>
    <x v="2"/>
    <x v="1"/>
    <n v="526"/>
    <n v="30"/>
    <n v="362"/>
    <n v="13"/>
    <n v="496"/>
    <n v="349"/>
    <n v="0.94296577946768056"/>
    <n v="0.96408839779005528"/>
    <n v="0.90910236749784679"/>
  </r>
  <r>
    <d v="2026-01-18T00:00:00"/>
    <x v="2"/>
    <x v="0"/>
    <n v="527"/>
    <n v="61"/>
    <n v="433"/>
    <n v="3"/>
    <n v="466"/>
    <n v="430"/>
    <n v="0.88425047438330173"/>
    <n v="0.99307159353348728"/>
    <n v="0.87812402767856756"/>
  </r>
  <r>
    <d v="2026-01-30T00:00:00"/>
    <x v="0"/>
    <x v="1"/>
    <n v="528"/>
    <n v="75"/>
    <n v="490"/>
    <n v="2"/>
    <n v="453"/>
    <n v="488"/>
    <n v="0.85795454545454541"/>
    <n v="0.99591836734693873"/>
    <n v="0.85445269016697578"/>
  </r>
  <r>
    <d v="2026-01-13T00:00:00"/>
    <x v="2"/>
    <x v="0"/>
    <n v="529"/>
    <n v="33"/>
    <n v="439"/>
    <n v="6"/>
    <n v="496"/>
    <n v="433"/>
    <n v="0.93761814744801508"/>
    <n v="0.98633257403189067"/>
    <n v="0.92480332083141348"/>
  </r>
  <r>
    <d v="2026-01-12T00:00:00"/>
    <x v="2"/>
    <x v="1"/>
    <n v="530"/>
    <n v="88"/>
    <n v="472"/>
    <n v="4"/>
    <n v="442"/>
    <n v="468"/>
    <n v="0.83396226415094343"/>
    <n v="0.99152542372881358"/>
    <n v="0.826894787336105"/>
  </r>
  <r>
    <d v="2026-01-31T00:00:00"/>
    <x v="1"/>
    <x v="0"/>
    <n v="531"/>
    <n v="8"/>
    <n v="359"/>
    <n v="4"/>
    <n v="523"/>
    <n v="355"/>
    <n v="0.98493408662900184"/>
    <n v="0.9888579387186629"/>
    <n v="0.97395989067770372"/>
  </r>
  <r>
    <d v="2026-01-19T00:00:00"/>
    <x v="1"/>
    <x v="1"/>
    <n v="532"/>
    <n v="10"/>
    <n v="312"/>
    <n v="15"/>
    <n v="522"/>
    <n v="297"/>
    <n v="0.98120300751879697"/>
    <n v="0.95192307692307687"/>
    <n v="0.93402978600347009"/>
  </r>
  <r>
    <d v="2026-01-11T00:00:00"/>
    <x v="1"/>
    <x v="0"/>
    <n v="533"/>
    <n v="57"/>
    <n v="368"/>
    <n v="3"/>
    <n v="476"/>
    <n v="365"/>
    <n v="0.89305816135084426"/>
    <n v="0.99184782608695654"/>
    <n v="0.88577779590504935"/>
  </r>
  <r>
    <d v="2026-01-22T00:00:00"/>
    <x v="1"/>
    <x v="1"/>
    <n v="534"/>
    <n v="89"/>
    <n v="352"/>
    <n v="6"/>
    <n v="445"/>
    <n v="346"/>
    <n v="0.83333333333333337"/>
    <n v="0.98295454545454541"/>
    <n v="0.81912878787878785"/>
  </r>
  <r>
    <d v="2026-01-11T00:00:00"/>
    <x v="0"/>
    <x v="0"/>
    <n v="535"/>
    <n v="19"/>
    <n v="423"/>
    <n v="13"/>
    <n v="516"/>
    <n v="410"/>
    <n v="0.96448598130841123"/>
    <n v="0.96926713947990539"/>
    <n v="0.93484456817127326"/>
  </r>
  <r>
    <d v="2026-01-13T00:00:00"/>
    <x v="2"/>
    <x v="0"/>
    <n v="536"/>
    <n v="44"/>
    <n v="436"/>
    <n v="11"/>
    <n v="492"/>
    <n v="425"/>
    <n v="0.91791044776119401"/>
    <n v="0.97477064220183485"/>
    <n v="0.89475215664795282"/>
  </r>
  <r>
    <d v="2026-01-15T00:00:00"/>
    <x v="2"/>
    <x v="1"/>
    <n v="537"/>
    <n v="67"/>
    <n v="440"/>
    <n v="8"/>
    <n v="470"/>
    <n v="432"/>
    <n v="0.87523277467411542"/>
    <n v="0.98181818181818181"/>
    <n v="0.85931945149822242"/>
  </r>
  <r>
    <d v="2026-01-18T00:00:00"/>
    <x v="0"/>
    <x v="0"/>
    <n v="538"/>
    <n v="26"/>
    <n v="305"/>
    <n v="9"/>
    <n v="512"/>
    <n v="296"/>
    <n v="0.95167286245353155"/>
    <n v="0.97049180327868856"/>
    <n v="0.92359071241391921"/>
  </r>
  <r>
    <d v="2026-01-05T00:00:00"/>
    <x v="1"/>
    <x v="0"/>
    <n v="539"/>
    <n v="42"/>
    <n v="302"/>
    <n v="12"/>
    <n v="497"/>
    <n v="290"/>
    <n v="0.92207792207792205"/>
    <n v="0.96026490066225167"/>
    <n v="0.88543906424701124"/>
  </r>
  <r>
    <d v="2026-01-19T00:00:00"/>
    <x v="1"/>
    <x v="1"/>
    <n v="540"/>
    <n v="24"/>
    <n v="486"/>
    <n v="1"/>
    <n v="516"/>
    <n v="485"/>
    <n v="0.9555555555555556"/>
    <n v="0.99794238683127567"/>
    <n v="0.95358939186099678"/>
  </r>
  <r>
    <d v="2026-01-14T00:00:00"/>
    <x v="0"/>
    <x v="0"/>
    <n v="541"/>
    <n v="17"/>
    <n v="493"/>
    <n v="3"/>
    <n v="524"/>
    <n v="490"/>
    <n v="0.96857670979667287"/>
    <n v="0.99391480730223125"/>
    <n v="0.96268273387498926"/>
  </r>
  <r>
    <d v="2026-01-08T00:00:00"/>
    <x v="0"/>
    <x v="1"/>
    <n v="542"/>
    <n v="65"/>
    <n v="315"/>
    <n v="15"/>
    <n v="477"/>
    <n v="300"/>
    <n v="0.88007380073800734"/>
    <n v="0.95238095238095233"/>
    <n v="0.8381655245123879"/>
  </r>
  <r>
    <d v="2026-01-27T00:00:00"/>
    <x v="1"/>
    <x v="0"/>
    <n v="543"/>
    <n v="61"/>
    <n v="401"/>
    <n v="8"/>
    <n v="482"/>
    <n v="393"/>
    <n v="0.88766114180478817"/>
    <n v="0.98004987531172072"/>
    <n v="0.86995219134484225"/>
  </r>
  <r>
    <d v="2026-01-07T00:00:00"/>
    <x v="1"/>
    <x v="1"/>
    <n v="544"/>
    <n v="43"/>
    <n v="329"/>
    <n v="11"/>
    <n v="501"/>
    <n v="318"/>
    <n v="0.92095588235294112"/>
    <n v="0.96656534954407292"/>
    <n v="0.8901640443411406"/>
  </r>
  <r>
    <d v="2026-01-15T00:00:00"/>
    <x v="0"/>
    <x v="0"/>
    <n v="545"/>
    <n v="55"/>
    <n v="475"/>
    <n v="15"/>
    <n v="490"/>
    <n v="460"/>
    <n v="0.8990825688073395"/>
    <n v="0.96842105263157896"/>
    <n v="0.87069048768710777"/>
  </r>
  <r>
    <d v="2026-01-12T00:00:00"/>
    <x v="1"/>
    <x v="1"/>
    <n v="546"/>
    <n v="63"/>
    <n v="471"/>
    <n v="11"/>
    <n v="483"/>
    <n v="460"/>
    <n v="0.88461538461538458"/>
    <n v="0.97664543524416136"/>
    <n v="0.86395557733137351"/>
  </r>
  <r>
    <d v="2026-01-20T00:00:00"/>
    <x v="0"/>
    <x v="1"/>
    <n v="547"/>
    <n v="80"/>
    <n v="488"/>
    <n v="0"/>
    <n v="467"/>
    <n v="488"/>
    <n v="0.8537477148080439"/>
    <n v="1"/>
    <n v="0.8537477148080439"/>
  </r>
  <r>
    <d v="2026-01-12T00:00:00"/>
    <x v="1"/>
    <x v="0"/>
    <n v="548"/>
    <n v="16"/>
    <n v="495"/>
    <n v="0"/>
    <n v="532"/>
    <n v="495"/>
    <n v="0.97080291970802923"/>
    <n v="1"/>
    <n v="0.97080291970802923"/>
  </r>
  <r>
    <d v="2026-01-12T00:00:00"/>
    <x v="1"/>
    <x v="0"/>
    <n v="549"/>
    <n v="5"/>
    <n v="347"/>
    <n v="10"/>
    <n v="544"/>
    <n v="337"/>
    <n v="0.99089253187613846"/>
    <n v="0.97118155619596547"/>
    <n v="0.96233655113042849"/>
  </r>
  <r>
    <d v="2026-01-25T00:00:00"/>
    <x v="0"/>
    <x v="1"/>
    <n v="550"/>
    <n v="26"/>
    <n v="304"/>
    <n v="6"/>
    <n v="524"/>
    <n v="298"/>
    <n v="0.95272727272727276"/>
    <n v="0.98026315789473684"/>
    <n v="0.9339234449760766"/>
  </r>
  <r>
    <d v="2026-01-29T00:00:00"/>
    <x v="2"/>
    <x v="0"/>
    <n v="551"/>
    <n v="88"/>
    <n v="471"/>
    <n v="3"/>
    <n v="463"/>
    <n v="468"/>
    <n v="0.84029038112522692"/>
    <n v="0.99363057324840764"/>
    <n v="0.8349382130925822"/>
  </r>
  <r>
    <d v="2026-01-27T00:00:00"/>
    <x v="2"/>
    <x v="1"/>
    <n v="552"/>
    <n v="9"/>
    <n v="492"/>
    <n v="9"/>
    <n v="543"/>
    <n v="483"/>
    <n v="0.98369565217391308"/>
    <n v="0.98170731707317072"/>
    <n v="0.96570121951219512"/>
  </r>
  <r>
    <d v="2026-01-25T00:00:00"/>
    <x v="1"/>
    <x v="0"/>
    <n v="553"/>
    <n v="38"/>
    <n v="388"/>
    <n v="2"/>
    <n v="515"/>
    <n v="386"/>
    <n v="0.93128390596745025"/>
    <n v="0.99484536082474229"/>
    <n v="0.9264834734624634"/>
  </r>
  <r>
    <d v="2026-01-03T00:00:00"/>
    <x v="2"/>
    <x v="0"/>
    <n v="554"/>
    <n v="4"/>
    <n v="499"/>
    <n v="10"/>
    <n v="550"/>
    <n v="489"/>
    <n v="0.99277978339350181"/>
    <n v="0.97995991983967934"/>
    <n v="0.97288439695275031"/>
  </r>
  <r>
    <d v="2026-01-05T00:00:00"/>
    <x v="0"/>
    <x v="0"/>
    <n v="555"/>
    <n v="89"/>
    <n v="344"/>
    <n v="3"/>
    <n v="466"/>
    <n v="341"/>
    <n v="0.83963963963963961"/>
    <n v="0.99127906976744184"/>
    <n v="0.83231720092185202"/>
  </r>
  <r>
    <d v="2026-01-10T00:00:00"/>
    <x v="1"/>
    <x v="1"/>
    <n v="556"/>
    <n v="59"/>
    <n v="306"/>
    <n v="4"/>
    <n v="497"/>
    <n v="302"/>
    <n v="0.89388489208633093"/>
    <n v="0.98692810457516345"/>
    <n v="0.88220012225513711"/>
  </r>
  <r>
    <d v="2026-01-20T00:00:00"/>
    <x v="0"/>
    <x v="1"/>
    <n v="557"/>
    <n v="81"/>
    <n v="380"/>
    <n v="13"/>
    <n v="476"/>
    <n v="367"/>
    <n v="0.85457809694793541"/>
    <n v="0.96578947368421053"/>
    <n v="0.82534253047340078"/>
  </r>
  <r>
    <d v="2026-01-08T00:00:00"/>
    <x v="1"/>
    <x v="1"/>
    <n v="558"/>
    <n v="51"/>
    <n v="439"/>
    <n v="9"/>
    <n v="507"/>
    <n v="430"/>
    <n v="0.90860215053763438"/>
    <n v="0.97949886104783601"/>
    <n v="0.88997477159722727"/>
  </r>
  <r>
    <d v="2026-01-05T00:00:00"/>
    <x v="1"/>
    <x v="0"/>
    <n v="559"/>
    <n v="64"/>
    <n v="313"/>
    <n v="10"/>
    <n v="495"/>
    <n v="303"/>
    <n v="0.88550983899821112"/>
    <n v="0.96805111821086265"/>
    <n v="0.85721878982893918"/>
  </r>
  <r>
    <d v="2026-01-06T00:00:00"/>
    <x v="2"/>
    <x v="1"/>
    <n v="560"/>
    <n v="78"/>
    <n v="477"/>
    <n v="2"/>
    <n v="482"/>
    <n v="475"/>
    <n v="0.86071428571428577"/>
    <n v="0.99580712788259962"/>
    <n v="0.85710542078466612"/>
  </r>
  <r>
    <d v="2026-01-29T00:00:00"/>
    <x v="1"/>
    <x v="0"/>
    <n v="561"/>
    <n v="84"/>
    <n v="411"/>
    <n v="4"/>
    <n v="477"/>
    <n v="407"/>
    <n v="0.85026737967914434"/>
    <n v="0.99026763990267641"/>
    <n v="0.84199227136109911"/>
  </r>
  <r>
    <d v="2026-01-11T00:00:00"/>
    <x v="0"/>
    <x v="1"/>
    <n v="562"/>
    <n v="70"/>
    <n v="434"/>
    <n v="1"/>
    <n v="492"/>
    <n v="433"/>
    <n v="0.8754448398576512"/>
    <n v="0.99769585253456217"/>
    <n v="0.87342768584876251"/>
  </r>
  <r>
    <d v="2026-01-09T00:00:00"/>
    <x v="2"/>
    <x v="0"/>
    <n v="563"/>
    <n v="38"/>
    <n v="494"/>
    <n v="6"/>
    <n v="525"/>
    <n v="488"/>
    <n v="0.93250444049733572"/>
    <n v="0.98785425101214575"/>
    <n v="0.9211784756329956"/>
  </r>
  <r>
    <d v="2026-01-27T00:00:00"/>
    <x v="2"/>
    <x v="0"/>
    <n v="564"/>
    <n v="24"/>
    <n v="364"/>
    <n v="6"/>
    <n v="540"/>
    <n v="358"/>
    <n v="0.95744680851063835"/>
    <n v="0.98351648351648346"/>
    <n v="0.94166471826046294"/>
  </r>
  <r>
    <d v="2026-01-30T00:00:00"/>
    <x v="1"/>
    <x v="0"/>
    <n v="565"/>
    <n v="61"/>
    <n v="480"/>
    <n v="8"/>
    <n v="504"/>
    <n v="472"/>
    <n v="0.89203539823008848"/>
    <n v="0.98333333333333328"/>
    <n v="0.87716814159292034"/>
  </r>
  <r>
    <d v="2026-01-07T00:00:00"/>
    <x v="0"/>
    <x v="0"/>
    <n v="566"/>
    <n v="51"/>
    <n v="385"/>
    <n v="11"/>
    <n v="515"/>
    <n v="374"/>
    <n v="0.90989399293286222"/>
    <n v="0.97142857142857142"/>
    <n v="0.88389702170620899"/>
  </r>
  <r>
    <d v="2026-01-21T00:00:00"/>
    <x v="1"/>
    <x v="1"/>
    <n v="567"/>
    <n v="45"/>
    <n v="500"/>
    <n v="1"/>
    <n v="522"/>
    <n v="499"/>
    <n v="0.92063492063492058"/>
    <n v="0.998"/>
    <n v="0.91879365079365072"/>
  </r>
  <r>
    <d v="2026-01-01T00:00:00"/>
    <x v="0"/>
    <x v="1"/>
    <n v="568"/>
    <n v="47"/>
    <n v="350"/>
    <n v="9"/>
    <n v="521"/>
    <n v="341"/>
    <n v="0.91725352112676062"/>
    <n v="0.97428571428571431"/>
    <n v="0.8936670020120725"/>
  </r>
  <r>
    <d v="2026-01-17T00:00:00"/>
    <x v="0"/>
    <x v="1"/>
    <n v="569"/>
    <n v="80"/>
    <n v="345"/>
    <n v="9"/>
    <n v="489"/>
    <n v="336"/>
    <n v="0.85940246045694202"/>
    <n v="0.97391304347826091"/>
    <n v="0.83698326583632621"/>
  </r>
  <r>
    <d v="2026-01-02T00:00:00"/>
    <x v="2"/>
    <x v="1"/>
    <n v="570"/>
    <n v="16"/>
    <n v="303"/>
    <n v="8"/>
    <n v="554"/>
    <n v="295"/>
    <n v="0.97192982456140353"/>
    <n v="0.97359735973597361"/>
    <n v="0.94626831104163056"/>
  </r>
  <r>
    <d v="2026-01-11T00:00:00"/>
    <x v="1"/>
    <x v="0"/>
    <n v="571"/>
    <n v="60"/>
    <n v="382"/>
    <n v="7"/>
    <n v="511"/>
    <n v="375"/>
    <n v="0.8949211908931699"/>
    <n v="0.98167539267015702"/>
    <n v="0.87852211147889714"/>
  </r>
  <r>
    <d v="2026-01-07T00:00:00"/>
    <x v="0"/>
    <x v="1"/>
    <n v="572"/>
    <n v="90"/>
    <n v="394"/>
    <n v="12"/>
    <n v="482"/>
    <n v="382"/>
    <n v="0.84265734265734271"/>
    <n v="0.96954314720812185"/>
    <n v="0.81699265201803284"/>
  </r>
  <r>
    <d v="2026-01-18T00:00:00"/>
    <x v="1"/>
    <x v="1"/>
    <n v="573"/>
    <n v="11"/>
    <n v="313"/>
    <n v="2"/>
    <n v="562"/>
    <n v="311"/>
    <n v="0.98080279232111689"/>
    <n v="0.99361022364217255"/>
    <n v="0.9745356818270523"/>
  </r>
  <r>
    <d v="2026-01-01T00:00:00"/>
    <x v="2"/>
    <x v="0"/>
    <n v="574"/>
    <n v="67"/>
    <n v="488"/>
    <n v="6"/>
    <n v="507"/>
    <n v="482"/>
    <n v="0.88327526132404177"/>
    <n v="0.98770491803278693"/>
    <n v="0.87241531958645113"/>
  </r>
  <r>
    <d v="2026-01-18T00:00:00"/>
    <x v="2"/>
    <x v="0"/>
    <n v="575"/>
    <n v="51"/>
    <n v="336"/>
    <n v="1"/>
    <n v="524"/>
    <n v="335"/>
    <n v="0.91130434782608694"/>
    <n v="0.99702380952380953"/>
    <n v="0.90859213250517601"/>
  </r>
  <r>
    <d v="2026-01-09T00:00:00"/>
    <x v="2"/>
    <x v="0"/>
    <n v="576"/>
    <n v="7"/>
    <n v="485"/>
    <n v="7"/>
    <n v="569"/>
    <n v="478"/>
    <n v="0.98784722222222221"/>
    <n v="0.9855670103092784"/>
    <n v="0.97358963344788096"/>
  </r>
  <r>
    <d v="2026-01-21T00:00:00"/>
    <x v="1"/>
    <x v="0"/>
    <n v="577"/>
    <n v="5"/>
    <n v="310"/>
    <n v="15"/>
    <n v="572"/>
    <n v="295"/>
    <n v="0.99133448873483532"/>
    <n v="0.95161290322580649"/>
    <n v="0.94336669089282721"/>
  </r>
  <r>
    <d v="2026-01-31T00:00:00"/>
    <x v="0"/>
    <x v="1"/>
    <n v="578"/>
    <n v="44"/>
    <n v="339"/>
    <n v="1"/>
    <n v="534"/>
    <n v="338"/>
    <n v="0.92387543252595161"/>
    <n v="0.99705014749262533"/>
    <n v="0.92115013626481312"/>
  </r>
  <r>
    <d v="2026-01-25T00:00:00"/>
    <x v="2"/>
    <x v="0"/>
    <n v="579"/>
    <n v="77"/>
    <n v="468"/>
    <n v="6"/>
    <n v="502"/>
    <n v="462"/>
    <n v="0.86701208981001732"/>
    <n v="0.98717948717948723"/>
    <n v="0.855896550197068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87836C-4B4A-4958-A4B8-8C3E4702F3DC}" name="PivotTable5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E1:E2" firstHeaderRow="1" firstDataRow="1" firstDataCol="0"/>
  <pivotFields count="12">
    <pivotField numFmtId="14" showAll="0"/>
    <pivotField showAll="0">
      <items count="4">
        <item x="0"/>
        <item x="2"/>
        <item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dataField="1" numFmtId="9" showAll="0"/>
  </pivotFields>
  <rowItems count="1">
    <i/>
  </rowItems>
  <colItems count="1">
    <i/>
  </colItems>
  <dataFields count="1">
    <dataField name="Ortalama OEE" fld="11" subtotal="average" baseField="1" baseItem="0" numFmtId="9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84DF13-139C-4D39-83E2-AA5655AAD893}" name="PivotTable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1:B5" firstHeaderRow="1" firstDataRow="1" firstDataCol="1"/>
  <pivotFields count="12">
    <pivotField numFmtId="14"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dataField="1"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Ortalama OEE" fld="11" subtotal="average" baseField="1" baseItem="0" numFmtId="9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43D95-6F0C-4F54-97D3-BDFB1D9192BA}" name="PivotTable4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D1:D2" firstHeaderRow="1" firstDataRow="1" firstDataCol="0"/>
  <pivotFields count="12">
    <pivotField numFmtId="14" showAll="0"/>
    <pivotField showAll="0">
      <items count="4">
        <item x="0"/>
        <item x="2"/>
        <item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9" showAll="0"/>
    <pivotField numFmtId="9" showAll="0"/>
    <pivotField numFmtId="9" showAll="0"/>
  </pivotFields>
  <rowItems count="1">
    <i/>
  </rowItems>
  <colItems count="1">
    <i/>
  </colItems>
  <dataFields count="1">
    <dataField name="Toplam HATALI ÜRETİM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8B6D8-311D-44F3-BDE1-CFBA021133F9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C1:C2" firstHeaderRow="1" firstDataRow="1" firstDataCol="0"/>
  <pivotFields count="12">
    <pivotField numFmtId="14" showAll="0"/>
    <pivotField showAll="0">
      <items count="4">
        <item x="0"/>
        <item x="2"/>
        <item x="1"/>
        <item t="default"/>
      </items>
    </pivotField>
    <pivotField showAll="0">
      <items count="3">
        <item x="1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9" showAll="0"/>
    <pivotField numFmtId="9" showAll="0"/>
    <pivotField numFmtId="9" showAll="0"/>
  </pivotFields>
  <rowItems count="1">
    <i/>
  </rowItems>
  <colItems count="1">
    <i/>
  </colItems>
  <dataFields count="1">
    <dataField name="Toplam TOPLAM ÜRETİM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KİNE_ID" xr10:uid="{897218C9-CE95-4209-A625-4228DBDC24BF}" sourceName="MAKİNE_ID">
  <pivotTables>
    <pivotTable tabId="3" name="PivotTable1"/>
    <pivotTable tabId="3" name="PivotTable2"/>
    <pivotTable tabId="3" name="PivotTable4"/>
    <pivotTable tabId="3" name="PivotTable5"/>
  </pivotTables>
  <data>
    <tabular pivotCacheId="189500407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VARDİYA" xr10:uid="{81B4A033-DBB3-4673-82A6-BE5B4144B804}" sourceName="VARDİYA">
  <pivotTables>
    <pivotTable tabId="3" name="PivotTable1"/>
    <pivotTable tabId="3" name="PivotTable2"/>
    <pivotTable tabId="3" name="PivotTable4"/>
    <pivotTable tabId="3" name="PivotTable5"/>
  </pivotTables>
  <data>
    <tabular pivotCacheId="189500407">
      <items count="2">
        <i x="1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KİNE_ID" xr10:uid="{E1AEC7B8-73F3-4D7D-B5D1-F94DC1911DC3}" cache="Dilimleyici_MAKİNE_ID" caption="MAKİNE_ID" rowHeight="234950"/>
  <slicer name="VARDİYA" xr10:uid="{C033F27F-7A92-4CC2-8B54-666AEC694597}" cache="Dilimleyici_VARDİYA" caption="VARDİY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2B2C0E-272F-4284-942C-025DC67DDABF}" name="Tablo1" displayName="Tablo1" ref="A1:L101" totalsRowShown="0">
  <autoFilter ref="A1:L101" xr:uid="{112B2C0E-272F-4284-942C-025DC67DDABF}"/>
  <tableColumns count="12">
    <tableColumn id="1" xr3:uid="{F11FD75B-CEE4-40C3-9CD9-3630758A9B93}" name="TARİH" dataDxfId="4"/>
    <tableColumn id="2" xr3:uid="{E56C0A0F-3208-4003-ACEC-5E5EFD20996B}" name="MAKİNE_ID"/>
    <tableColumn id="3" xr3:uid="{C6E32A33-AD45-4535-842E-2D8FEF24B017}" name="VARDİYA"/>
    <tableColumn id="4" xr3:uid="{F9835247-E41A-4CE6-A00E-1C380CDE8EA6}" name="PLANLI_SÜRE"/>
    <tableColumn id="5" xr3:uid="{A93FCB8F-39AB-4117-B444-D3809AF11971}" name="DURUŞ_SÜRE"/>
    <tableColumn id="6" xr3:uid="{47FF56FD-76CF-4BFA-8913-F22E97D2047A}" name="TOPLAM ÜRETİM"/>
    <tableColumn id="7" xr3:uid="{A824E84F-1411-473B-A0B3-51543EAA1E00}" name="HATALI ÜRETİM"/>
    <tableColumn id="8" xr3:uid="{F3B8CCED-2DE0-42EA-9667-F1D67410D90B}" name="NET SÜRE" dataDxfId="3">
      <calculatedColumnFormula>Tablo1[[#This Row],[PLANLI_SÜRE]]-Tablo1[[#This Row],[DURUŞ_SÜRE]]</calculatedColumnFormula>
    </tableColumn>
    <tableColumn id="9" xr3:uid="{96928085-A707-46A6-83AB-3B69064476D8}" name="SAĞLAM ÜRETİM" dataDxfId="2">
      <calculatedColumnFormula>Tablo1[[#This Row],[TOPLAM ÜRETİM]]-Tablo1[[#This Row],[HATALI ÜRETİM]]</calculatedColumnFormula>
    </tableColumn>
    <tableColumn id="10" xr3:uid="{32535EA0-1C2D-4AD2-A4B6-384E561A2B50}" name="KULLANILABİLİRLİK" dataDxfId="1">
      <calculatedColumnFormula>Tablo1[[#This Row],[NET SÜRE]]/Tablo1[[#This Row],[PLANLI_SÜRE]]</calculatedColumnFormula>
    </tableColumn>
    <tableColumn id="11" xr3:uid="{44AACFFD-A90C-46CB-A8C1-72743EA4C6FE}" name="KALİTE ORANI" dataCellStyle="Yüzde">
      <calculatedColumnFormula>Tablo1[[#This Row],[SAĞLAM ÜRETİM]]/Tablo1[[#This Row],[TOPLAM ÜRETİM]]</calculatedColumnFormula>
    </tableColumn>
    <tableColumn id="12" xr3:uid="{95200D92-58A5-423E-B014-0766D332C7BF}" name="OEE" dataDxfId="0">
      <calculatedColumnFormula>Tablo1[[#This Row],[KULLANILABİLİRLİK]]*Tablo1[[#This Row],[KALİTE ORANI]]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1C06-9B9A-4020-A406-21D06450020F}">
  <dimension ref="A1:L101"/>
  <sheetViews>
    <sheetView workbookViewId="0">
      <selection activeCell="O15" sqref="O15"/>
    </sheetView>
  </sheetViews>
  <sheetFormatPr defaultRowHeight="14.4" x14ac:dyDescent="0.3"/>
  <cols>
    <col min="1" max="1" width="10.109375" bestFit="1" customWidth="1"/>
    <col min="2" max="2" width="13" bestFit="1" customWidth="1"/>
    <col min="3" max="3" width="10.77734375" bestFit="1" customWidth="1"/>
    <col min="4" max="5" width="14.6640625" bestFit="1" customWidth="1"/>
    <col min="6" max="6" width="17.88671875" bestFit="1" customWidth="1"/>
    <col min="7" max="7" width="16.6640625" bestFit="1" customWidth="1"/>
    <col min="8" max="8" width="11.44140625" bestFit="1" customWidth="1"/>
    <col min="9" max="9" width="17.88671875" bestFit="1" customWidth="1"/>
    <col min="10" max="10" width="19.6640625" bestFit="1" customWidth="1"/>
    <col min="11" max="11" width="15" bestFit="1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3">
      <c r="A2" s="1">
        <v>46023</v>
      </c>
      <c r="B2" t="s">
        <v>11</v>
      </c>
      <c r="C2" t="s">
        <v>10</v>
      </c>
      <c r="D2">
        <v>480</v>
      </c>
      <c r="E2">
        <v>74</v>
      </c>
      <c r="F2">
        <v>380</v>
      </c>
      <c r="G2">
        <v>6</v>
      </c>
      <c r="H2">
        <f>Tablo1[[#This Row],[PLANLI_SÜRE]]-Tablo1[[#This Row],[DURUŞ_SÜRE]]</f>
        <v>406</v>
      </c>
      <c r="I2">
        <f>Tablo1[[#This Row],[TOPLAM ÜRETİM]]-Tablo1[[#This Row],[HATALI ÜRETİM]]</f>
        <v>374</v>
      </c>
      <c r="J2" s="2">
        <f>Tablo1[[#This Row],[NET SÜRE]]/Tablo1[[#This Row],[PLANLI_SÜRE]]</f>
        <v>0.84583333333333333</v>
      </c>
      <c r="K2" s="2">
        <f>Tablo1[[#This Row],[SAĞLAM ÜRETİM]]/Tablo1[[#This Row],[TOPLAM ÜRETİM]]</f>
        <v>0.98421052631578942</v>
      </c>
      <c r="L2" s="3">
        <f>Tablo1[[#This Row],[KULLANILABİLİRLİK]]*Tablo1[[#This Row],[KALİTE ORANI]]</f>
        <v>0.83247807017543851</v>
      </c>
    </row>
    <row r="3" spans="1:12" x14ac:dyDescent="0.3">
      <c r="A3" s="1">
        <v>46050</v>
      </c>
      <c r="B3" t="s">
        <v>7</v>
      </c>
      <c r="C3" t="s">
        <v>8</v>
      </c>
      <c r="D3">
        <v>481</v>
      </c>
      <c r="E3">
        <v>53</v>
      </c>
      <c r="F3">
        <v>327</v>
      </c>
      <c r="G3">
        <v>11</v>
      </c>
      <c r="H3">
        <f>Tablo1[[#This Row],[PLANLI_SÜRE]]-Tablo1[[#This Row],[DURUŞ_SÜRE]]</f>
        <v>428</v>
      </c>
      <c r="I3">
        <f>Tablo1[[#This Row],[TOPLAM ÜRETİM]]-Tablo1[[#This Row],[HATALI ÜRETİM]]</f>
        <v>316</v>
      </c>
      <c r="J3" s="2">
        <f>Tablo1[[#This Row],[NET SÜRE]]/Tablo1[[#This Row],[PLANLI_SÜRE]]</f>
        <v>0.88981288981288986</v>
      </c>
      <c r="K3" s="2">
        <f>Tablo1[[#This Row],[SAĞLAM ÜRETİM]]/Tablo1[[#This Row],[TOPLAM ÜRETİM]]</f>
        <v>0.96636085626911317</v>
      </c>
      <c r="L3" s="3">
        <f>Tablo1[[#This Row],[KULLANILABİLİRLİK]]*Tablo1[[#This Row],[KALİTE ORANI]]</f>
        <v>0.85988034611887831</v>
      </c>
    </row>
    <row r="4" spans="1:12" x14ac:dyDescent="0.3">
      <c r="A4" s="1">
        <v>46044</v>
      </c>
      <c r="B4" t="s">
        <v>11</v>
      </c>
      <c r="C4" t="s">
        <v>8</v>
      </c>
      <c r="D4">
        <v>482</v>
      </c>
      <c r="E4">
        <v>17</v>
      </c>
      <c r="F4">
        <v>384</v>
      </c>
      <c r="G4">
        <v>13</v>
      </c>
      <c r="H4">
        <f>Tablo1[[#This Row],[PLANLI_SÜRE]]-Tablo1[[#This Row],[DURUŞ_SÜRE]]</f>
        <v>465</v>
      </c>
      <c r="I4">
        <f>Tablo1[[#This Row],[TOPLAM ÜRETİM]]-Tablo1[[#This Row],[HATALI ÜRETİM]]</f>
        <v>371</v>
      </c>
      <c r="J4" s="2">
        <f>Tablo1[[#This Row],[NET SÜRE]]/Tablo1[[#This Row],[PLANLI_SÜRE]]</f>
        <v>0.96473029045643155</v>
      </c>
      <c r="K4" s="2">
        <f>Tablo1[[#This Row],[SAĞLAM ÜRETİM]]/Tablo1[[#This Row],[TOPLAM ÜRETİM]]</f>
        <v>0.96614583333333337</v>
      </c>
      <c r="L4" s="3">
        <f>Tablo1[[#This Row],[KULLANILABİLİRLİK]]*Tablo1[[#This Row],[KALİTE ORANI]]</f>
        <v>0.93207015041493779</v>
      </c>
    </row>
    <row r="5" spans="1:12" x14ac:dyDescent="0.3">
      <c r="A5" s="1">
        <v>46047</v>
      </c>
      <c r="B5" t="s">
        <v>9</v>
      </c>
      <c r="C5" t="s">
        <v>10</v>
      </c>
      <c r="D5">
        <v>483</v>
      </c>
      <c r="E5">
        <v>40</v>
      </c>
      <c r="F5">
        <v>465</v>
      </c>
      <c r="G5">
        <v>15</v>
      </c>
      <c r="H5">
        <f>Tablo1[[#This Row],[PLANLI_SÜRE]]-Tablo1[[#This Row],[DURUŞ_SÜRE]]</f>
        <v>443</v>
      </c>
      <c r="I5">
        <f>Tablo1[[#This Row],[TOPLAM ÜRETİM]]-Tablo1[[#This Row],[HATALI ÜRETİM]]</f>
        <v>450</v>
      </c>
      <c r="J5" s="2">
        <f>Tablo1[[#This Row],[NET SÜRE]]/Tablo1[[#This Row],[PLANLI_SÜRE]]</f>
        <v>0.917184265010352</v>
      </c>
      <c r="K5" s="2">
        <f>Tablo1[[#This Row],[SAĞLAM ÜRETİM]]/Tablo1[[#This Row],[TOPLAM ÜRETİM]]</f>
        <v>0.967741935483871</v>
      </c>
      <c r="L5" s="3">
        <f>Tablo1[[#This Row],[KULLANILABİLİRLİK]]*Tablo1[[#This Row],[KALİTE ORANI]]</f>
        <v>0.88759767581646964</v>
      </c>
    </row>
    <row r="6" spans="1:12" x14ac:dyDescent="0.3">
      <c r="A6" s="1">
        <v>46033</v>
      </c>
      <c r="B6" t="s">
        <v>11</v>
      </c>
      <c r="C6" t="s">
        <v>10</v>
      </c>
      <c r="D6">
        <v>484</v>
      </c>
      <c r="E6">
        <v>5</v>
      </c>
      <c r="F6">
        <v>428</v>
      </c>
      <c r="G6">
        <v>9</v>
      </c>
      <c r="H6">
        <f>Tablo1[[#This Row],[PLANLI_SÜRE]]-Tablo1[[#This Row],[DURUŞ_SÜRE]]</f>
        <v>479</v>
      </c>
      <c r="I6">
        <f>Tablo1[[#This Row],[TOPLAM ÜRETİM]]-Tablo1[[#This Row],[HATALI ÜRETİM]]</f>
        <v>419</v>
      </c>
      <c r="J6" s="2">
        <f>Tablo1[[#This Row],[NET SÜRE]]/Tablo1[[#This Row],[PLANLI_SÜRE]]</f>
        <v>0.98966942148760328</v>
      </c>
      <c r="K6" s="2">
        <f>Tablo1[[#This Row],[SAĞLAM ÜRETİM]]/Tablo1[[#This Row],[TOPLAM ÜRETİM]]</f>
        <v>0.9789719626168224</v>
      </c>
      <c r="L6" s="3">
        <f>Tablo1[[#This Row],[KULLANILABİLİRLİK]]*Tablo1[[#This Row],[KALİTE ORANI]]</f>
        <v>0.9688586158955742</v>
      </c>
    </row>
    <row r="7" spans="1:12" x14ac:dyDescent="0.3">
      <c r="A7" s="1">
        <v>46034</v>
      </c>
      <c r="B7" t="s">
        <v>11</v>
      </c>
      <c r="C7" t="s">
        <v>8</v>
      </c>
      <c r="D7">
        <v>485</v>
      </c>
      <c r="E7">
        <v>4</v>
      </c>
      <c r="F7">
        <v>387</v>
      </c>
      <c r="G7">
        <v>3</v>
      </c>
      <c r="H7">
        <f>Tablo1[[#This Row],[PLANLI_SÜRE]]-Tablo1[[#This Row],[DURUŞ_SÜRE]]</f>
        <v>481</v>
      </c>
      <c r="I7">
        <f>Tablo1[[#This Row],[TOPLAM ÜRETİM]]-Tablo1[[#This Row],[HATALI ÜRETİM]]</f>
        <v>384</v>
      </c>
      <c r="J7" s="2">
        <f>Tablo1[[#This Row],[NET SÜRE]]/Tablo1[[#This Row],[PLANLI_SÜRE]]</f>
        <v>0.99175257731958766</v>
      </c>
      <c r="K7" s="2">
        <f>Tablo1[[#This Row],[SAĞLAM ÜRETİM]]/Tablo1[[#This Row],[TOPLAM ÜRETİM]]</f>
        <v>0.99224806201550386</v>
      </c>
      <c r="L7" s="3">
        <f>Tablo1[[#This Row],[KULLANILABİLİRLİK]]*Tablo1[[#This Row],[KALİTE ORANI]]</f>
        <v>0.98406457284424198</v>
      </c>
    </row>
    <row r="8" spans="1:12" x14ac:dyDescent="0.3">
      <c r="A8" s="1">
        <v>46033</v>
      </c>
      <c r="B8" t="s">
        <v>9</v>
      </c>
      <c r="C8" t="s">
        <v>10</v>
      </c>
      <c r="D8">
        <v>486</v>
      </c>
      <c r="E8">
        <v>55</v>
      </c>
      <c r="F8">
        <v>407</v>
      </c>
      <c r="G8">
        <v>3</v>
      </c>
      <c r="H8">
        <f>Tablo1[[#This Row],[PLANLI_SÜRE]]-Tablo1[[#This Row],[DURUŞ_SÜRE]]</f>
        <v>431</v>
      </c>
      <c r="I8">
        <f>Tablo1[[#This Row],[TOPLAM ÜRETİM]]-Tablo1[[#This Row],[HATALI ÜRETİM]]</f>
        <v>404</v>
      </c>
      <c r="J8" s="2">
        <f>Tablo1[[#This Row],[NET SÜRE]]/Tablo1[[#This Row],[PLANLI_SÜRE]]</f>
        <v>0.88683127572016462</v>
      </c>
      <c r="K8" s="2">
        <f>Tablo1[[#This Row],[SAĞLAM ÜRETİM]]/Tablo1[[#This Row],[TOPLAM ÜRETİM]]</f>
        <v>0.99262899262899262</v>
      </c>
      <c r="L8" s="3">
        <f>Tablo1[[#This Row],[KULLANILABİLİRLİK]]*Tablo1[[#This Row],[KALİTE ORANI]]</f>
        <v>0.88029443584999145</v>
      </c>
    </row>
    <row r="9" spans="1:12" x14ac:dyDescent="0.3">
      <c r="A9" s="1">
        <v>46047</v>
      </c>
      <c r="B9" t="s">
        <v>11</v>
      </c>
      <c r="C9" t="s">
        <v>10</v>
      </c>
      <c r="D9">
        <v>487</v>
      </c>
      <c r="E9">
        <v>43</v>
      </c>
      <c r="F9">
        <v>491</v>
      </c>
      <c r="G9">
        <v>15</v>
      </c>
      <c r="H9">
        <f>Tablo1[[#This Row],[PLANLI_SÜRE]]-Tablo1[[#This Row],[DURUŞ_SÜRE]]</f>
        <v>444</v>
      </c>
      <c r="I9">
        <f>Tablo1[[#This Row],[TOPLAM ÜRETİM]]-Tablo1[[#This Row],[HATALI ÜRETİM]]</f>
        <v>476</v>
      </c>
      <c r="J9" s="2">
        <f>Tablo1[[#This Row],[NET SÜRE]]/Tablo1[[#This Row],[PLANLI_SÜRE]]</f>
        <v>0.9117043121149897</v>
      </c>
      <c r="K9" s="2">
        <f>Tablo1[[#This Row],[SAĞLAM ÜRETİM]]/Tablo1[[#This Row],[TOPLAM ÜRETİM]]</f>
        <v>0.96945010183299385</v>
      </c>
      <c r="L9" s="3">
        <f>Tablo1[[#This Row],[KULLANILABİLİRLİK]]*Tablo1[[#This Row],[KALİTE ORANI]]</f>
        <v>0.88385183822145641</v>
      </c>
    </row>
    <row r="10" spans="1:12" x14ac:dyDescent="0.3">
      <c r="A10" s="1">
        <v>46038</v>
      </c>
      <c r="B10" t="s">
        <v>7</v>
      </c>
      <c r="C10" t="s">
        <v>8</v>
      </c>
      <c r="D10">
        <v>488</v>
      </c>
      <c r="E10">
        <v>58</v>
      </c>
      <c r="F10">
        <v>441</v>
      </c>
      <c r="G10">
        <v>8</v>
      </c>
      <c r="H10">
        <f>Tablo1[[#This Row],[PLANLI_SÜRE]]-Tablo1[[#This Row],[DURUŞ_SÜRE]]</f>
        <v>430</v>
      </c>
      <c r="I10">
        <f>Tablo1[[#This Row],[TOPLAM ÜRETİM]]-Tablo1[[#This Row],[HATALI ÜRETİM]]</f>
        <v>433</v>
      </c>
      <c r="J10" s="2">
        <f>Tablo1[[#This Row],[NET SÜRE]]/Tablo1[[#This Row],[PLANLI_SÜRE]]</f>
        <v>0.88114754098360659</v>
      </c>
      <c r="K10" s="2">
        <f>Tablo1[[#This Row],[SAĞLAM ÜRETİM]]/Tablo1[[#This Row],[TOPLAM ÜRETİM]]</f>
        <v>0.98185941043083902</v>
      </c>
      <c r="L10" s="3">
        <f>Tablo1[[#This Row],[KULLANILABİLİRLİK]]*Tablo1[[#This Row],[KALİTE ORANI]]</f>
        <v>0.86516300509274757</v>
      </c>
    </row>
    <row r="11" spans="1:12" x14ac:dyDescent="0.3">
      <c r="A11" s="1">
        <v>46025</v>
      </c>
      <c r="B11" t="s">
        <v>11</v>
      </c>
      <c r="C11" t="s">
        <v>8</v>
      </c>
      <c r="D11">
        <v>489</v>
      </c>
      <c r="E11">
        <v>14</v>
      </c>
      <c r="F11">
        <v>327</v>
      </c>
      <c r="G11">
        <v>5</v>
      </c>
      <c r="H11">
        <f>Tablo1[[#This Row],[PLANLI_SÜRE]]-Tablo1[[#This Row],[DURUŞ_SÜRE]]</f>
        <v>475</v>
      </c>
      <c r="I11">
        <f>Tablo1[[#This Row],[TOPLAM ÜRETİM]]-Tablo1[[#This Row],[HATALI ÜRETİM]]</f>
        <v>322</v>
      </c>
      <c r="J11" s="2">
        <f>Tablo1[[#This Row],[NET SÜRE]]/Tablo1[[#This Row],[PLANLI_SÜRE]]</f>
        <v>0.97137014314928427</v>
      </c>
      <c r="K11" s="2">
        <f>Tablo1[[#This Row],[SAĞLAM ÜRETİM]]/Tablo1[[#This Row],[TOPLAM ÜRETİM]]</f>
        <v>0.98470948012232418</v>
      </c>
      <c r="L11" s="3">
        <f>Tablo1[[#This Row],[KULLANILABİLİRLİK]]*Tablo1[[#This Row],[KALİTE ORANI]]</f>
        <v>0.9565173886668793</v>
      </c>
    </row>
    <row r="12" spans="1:12" x14ac:dyDescent="0.3">
      <c r="A12" s="1">
        <v>46053</v>
      </c>
      <c r="B12" t="s">
        <v>7</v>
      </c>
      <c r="C12" t="s">
        <v>8</v>
      </c>
      <c r="D12">
        <v>490</v>
      </c>
      <c r="E12">
        <v>56</v>
      </c>
      <c r="F12">
        <v>412</v>
      </c>
      <c r="G12">
        <v>2</v>
      </c>
      <c r="H12">
        <f>Tablo1[[#This Row],[PLANLI_SÜRE]]-Tablo1[[#This Row],[DURUŞ_SÜRE]]</f>
        <v>434</v>
      </c>
      <c r="I12">
        <f>Tablo1[[#This Row],[TOPLAM ÜRETİM]]-Tablo1[[#This Row],[HATALI ÜRETİM]]</f>
        <v>410</v>
      </c>
      <c r="J12" s="2">
        <f>Tablo1[[#This Row],[NET SÜRE]]/Tablo1[[#This Row],[PLANLI_SÜRE]]</f>
        <v>0.88571428571428568</v>
      </c>
      <c r="K12" s="2">
        <f>Tablo1[[#This Row],[SAĞLAM ÜRETİM]]/Tablo1[[#This Row],[TOPLAM ÜRETİM]]</f>
        <v>0.99514563106796117</v>
      </c>
      <c r="L12" s="3">
        <f>Tablo1[[#This Row],[KULLANILABİLİRLİK]]*Tablo1[[#This Row],[KALİTE ORANI]]</f>
        <v>0.88141470180305126</v>
      </c>
    </row>
    <row r="13" spans="1:12" x14ac:dyDescent="0.3">
      <c r="A13" s="1">
        <v>46039</v>
      </c>
      <c r="B13" t="s">
        <v>9</v>
      </c>
      <c r="C13" t="s">
        <v>10</v>
      </c>
      <c r="D13">
        <v>491</v>
      </c>
      <c r="E13">
        <v>74</v>
      </c>
      <c r="F13">
        <v>470</v>
      </c>
      <c r="G13">
        <v>14</v>
      </c>
      <c r="H13">
        <f>Tablo1[[#This Row],[PLANLI_SÜRE]]-Tablo1[[#This Row],[DURUŞ_SÜRE]]</f>
        <v>417</v>
      </c>
      <c r="I13">
        <f>Tablo1[[#This Row],[TOPLAM ÜRETİM]]-Tablo1[[#This Row],[HATALI ÜRETİM]]</f>
        <v>456</v>
      </c>
      <c r="J13" s="2">
        <f>Tablo1[[#This Row],[NET SÜRE]]/Tablo1[[#This Row],[PLANLI_SÜRE]]</f>
        <v>0.84928716904276991</v>
      </c>
      <c r="K13" s="2">
        <f>Tablo1[[#This Row],[SAĞLAM ÜRETİM]]/Tablo1[[#This Row],[TOPLAM ÜRETİM]]</f>
        <v>0.97021276595744677</v>
      </c>
      <c r="L13" s="3">
        <f>Tablo1[[#This Row],[KULLANILABİLİRLİK]]*Tablo1[[#This Row],[KALİTE ORANI]]</f>
        <v>0.82398925336915541</v>
      </c>
    </row>
    <row r="14" spans="1:12" x14ac:dyDescent="0.3">
      <c r="A14" s="1">
        <v>46041</v>
      </c>
      <c r="B14" t="s">
        <v>7</v>
      </c>
      <c r="C14" t="s">
        <v>8</v>
      </c>
      <c r="D14">
        <v>492</v>
      </c>
      <c r="E14">
        <v>20</v>
      </c>
      <c r="F14">
        <v>331</v>
      </c>
      <c r="G14">
        <v>3</v>
      </c>
      <c r="H14">
        <f>Tablo1[[#This Row],[PLANLI_SÜRE]]-Tablo1[[#This Row],[DURUŞ_SÜRE]]</f>
        <v>472</v>
      </c>
      <c r="I14">
        <f>Tablo1[[#This Row],[TOPLAM ÜRETİM]]-Tablo1[[#This Row],[HATALI ÜRETİM]]</f>
        <v>328</v>
      </c>
      <c r="J14" s="2">
        <f>Tablo1[[#This Row],[NET SÜRE]]/Tablo1[[#This Row],[PLANLI_SÜRE]]</f>
        <v>0.95934959349593496</v>
      </c>
      <c r="K14" s="2">
        <f>Tablo1[[#This Row],[SAĞLAM ÜRETİM]]/Tablo1[[#This Row],[TOPLAM ÜRETİM]]</f>
        <v>0.99093655589123864</v>
      </c>
      <c r="L14" s="3">
        <f>Tablo1[[#This Row],[KULLANILABİLİRLİK]]*Tablo1[[#This Row],[KALİTE ORANI]]</f>
        <v>0.95065458207452158</v>
      </c>
    </row>
    <row r="15" spans="1:12" x14ac:dyDescent="0.3">
      <c r="A15" s="1">
        <v>46047</v>
      </c>
      <c r="B15" t="s">
        <v>11</v>
      </c>
      <c r="C15" t="s">
        <v>10</v>
      </c>
      <c r="D15">
        <v>493</v>
      </c>
      <c r="E15">
        <v>34</v>
      </c>
      <c r="F15">
        <v>408</v>
      </c>
      <c r="G15">
        <v>10</v>
      </c>
      <c r="H15">
        <f>Tablo1[[#This Row],[PLANLI_SÜRE]]-Tablo1[[#This Row],[DURUŞ_SÜRE]]</f>
        <v>459</v>
      </c>
      <c r="I15">
        <f>Tablo1[[#This Row],[TOPLAM ÜRETİM]]-Tablo1[[#This Row],[HATALI ÜRETİM]]</f>
        <v>398</v>
      </c>
      <c r="J15" s="2">
        <f>Tablo1[[#This Row],[NET SÜRE]]/Tablo1[[#This Row],[PLANLI_SÜRE]]</f>
        <v>0.93103448275862066</v>
      </c>
      <c r="K15" s="2">
        <f>Tablo1[[#This Row],[SAĞLAM ÜRETİM]]/Tablo1[[#This Row],[TOPLAM ÜRETİM]]</f>
        <v>0.97549019607843135</v>
      </c>
      <c r="L15" s="3">
        <f>Tablo1[[#This Row],[KULLANILABİLİRLİK]]*Tablo1[[#This Row],[KALİTE ORANI]]</f>
        <v>0.9082150101419878</v>
      </c>
    </row>
    <row r="16" spans="1:12" x14ac:dyDescent="0.3">
      <c r="A16" s="1">
        <v>46049</v>
      </c>
      <c r="B16" t="s">
        <v>7</v>
      </c>
      <c r="C16" t="s">
        <v>8</v>
      </c>
      <c r="D16">
        <v>494</v>
      </c>
      <c r="E16">
        <v>38</v>
      </c>
      <c r="F16">
        <v>488</v>
      </c>
      <c r="G16">
        <v>13</v>
      </c>
      <c r="H16">
        <f>Tablo1[[#This Row],[PLANLI_SÜRE]]-Tablo1[[#This Row],[DURUŞ_SÜRE]]</f>
        <v>456</v>
      </c>
      <c r="I16">
        <f>Tablo1[[#This Row],[TOPLAM ÜRETİM]]-Tablo1[[#This Row],[HATALI ÜRETİM]]</f>
        <v>475</v>
      </c>
      <c r="J16" s="2">
        <f>Tablo1[[#This Row],[NET SÜRE]]/Tablo1[[#This Row],[PLANLI_SÜRE]]</f>
        <v>0.92307692307692313</v>
      </c>
      <c r="K16" s="2">
        <f>Tablo1[[#This Row],[SAĞLAM ÜRETİM]]/Tablo1[[#This Row],[TOPLAM ÜRETİM]]</f>
        <v>0.97336065573770492</v>
      </c>
      <c r="L16" s="3">
        <f>Tablo1[[#This Row],[KULLANILABİLİRLİK]]*Tablo1[[#This Row],[KALİTE ORANI]]</f>
        <v>0.89848675914249687</v>
      </c>
    </row>
    <row r="17" spans="1:12" x14ac:dyDescent="0.3">
      <c r="A17" s="1">
        <v>46041</v>
      </c>
      <c r="B17" t="s">
        <v>9</v>
      </c>
      <c r="C17" t="s">
        <v>8</v>
      </c>
      <c r="D17">
        <v>495</v>
      </c>
      <c r="E17">
        <v>68</v>
      </c>
      <c r="F17">
        <v>414</v>
      </c>
      <c r="G17">
        <v>1</v>
      </c>
      <c r="H17">
        <f>Tablo1[[#This Row],[PLANLI_SÜRE]]-Tablo1[[#This Row],[DURUŞ_SÜRE]]</f>
        <v>427</v>
      </c>
      <c r="I17">
        <f>Tablo1[[#This Row],[TOPLAM ÜRETİM]]-Tablo1[[#This Row],[HATALI ÜRETİM]]</f>
        <v>413</v>
      </c>
      <c r="J17" s="2">
        <f>Tablo1[[#This Row],[NET SÜRE]]/Tablo1[[#This Row],[PLANLI_SÜRE]]</f>
        <v>0.86262626262626263</v>
      </c>
      <c r="K17" s="2">
        <f>Tablo1[[#This Row],[SAĞLAM ÜRETİM]]/Tablo1[[#This Row],[TOPLAM ÜRETİM]]</f>
        <v>0.99758454106280192</v>
      </c>
      <c r="L17" s="3">
        <f>Tablo1[[#This Row],[KULLANILABİLİRLİK]]*Tablo1[[#This Row],[KALİTE ORANI]]</f>
        <v>0.86054262431074025</v>
      </c>
    </row>
    <row r="18" spans="1:12" x14ac:dyDescent="0.3">
      <c r="A18" s="1">
        <v>46040</v>
      </c>
      <c r="B18" t="s">
        <v>7</v>
      </c>
      <c r="C18" t="s">
        <v>8</v>
      </c>
      <c r="D18">
        <v>496</v>
      </c>
      <c r="E18">
        <v>29</v>
      </c>
      <c r="F18">
        <v>483</v>
      </c>
      <c r="G18">
        <v>11</v>
      </c>
      <c r="H18">
        <f>Tablo1[[#This Row],[PLANLI_SÜRE]]-Tablo1[[#This Row],[DURUŞ_SÜRE]]</f>
        <v>467</v>
      </c>
      <c r="I18">
        <f>Tablo1[[#This Row],[TOPLAM ÜRETİM]]-Tablo1[[#This Row],[HATALI ÜRETİM]]</f>
        <v>472</v>
      </c>
      <c r="J18" s="2">
        <f>Tablo1[[#This Row],[NET SÜRE]]/Tablo1[[#This Row],[PLANLI_SÜRE]]</f>
        <v>0.94153225806451613</v>
      </c>
      <c r="K18" s="2">
        <f>Tablo1[[#This Row],[SAĞLAM ÜRETİM]]/Tablo1[[#This Row],[TOPLAM ÜRETİM]]</f>
        <v>0.97722567287784678</v>
      </c>
      <c r="L18" s="3">
        <f>Tablo1[[#This Row],[KULLANILABİLİRLİK]]*Tablo1[[#This Row],[KALİTE ORANI]]</f>
        <v>0.92008949442329524</v>
      </c>
    </row>
    <row r="19" spans="1:12" x14ac:dyDescent="0.3">
      <c r="A19" s="1">
        <v>46039</v>
      </c>
      <c r="B19" t="s">
        <v>9</v>
      </c>
      <c r="C19" t="s">
        <v>8</v>
      </c>
      <c r="D19">
        <v>497</v>
      </c>
      <c r="E19">
        <v>62</v>
      </c>
      <c r="F19">
        <v>458</v>
      </c>
      <c r="G19">
        <v>9</v>
      </c>
      <c r="H19">
        <f>Tablo1[[#This Row],[PLANLI_SÜRE]]-Tablo1[[#This Row],[DURUŞ_SÜRE]]</f>
        <v>435</v>
      </c>
      <c r="I19">
        <f>Tablo1[[#This Row],[TOPLAM ÜRETİM]]-Tablo1[[#This Row],[HATALI ÜRETİM]]</f>
        <v>449</v>
      </c>
      <c r="J19" s="2">
        <f>Tablo1[[#This Row],[NET SÜRE]]/Tablo1[[#This Row],[PLANLI_SÜRE]]</f>
        <v>0.87525150905432592</v>
      </c>
      <c r="K19" s="2">
        <f>Tablo1[[#This Row],[SAĞLAM ÜRETİM]]/Tablo1[[#This Row],[TOPLAM ÜRETİM]]</f>
        <v>0.98034934497816595</v>
      </c>
      <c r="L19" s="3">
        <f>Tablo1[[#This Row],[KULLANILABİLİRLİK]]*Tablo1[[#This Row],[KALİTE ORANI]]</f>
        <v>0.85805224359255972</v>
      </c>
    </row>
    <row r="20" spans="1:12" x14ac:dyDescent="0.3">
      <c r="A20" s="1">
        <v>46041</v>
      </c>
      <c r="B20" t="s">
        <v>9</v>
      </c>
      <c r="C20" t="s">
        <v>8</v>
      </c>
      <c r="D20">
        <v>498</v>
      </c>
      <c r="E20">
        <v>46</v>
      </c>
      <c r="F20">
        <v>313</v>
      </c>
      <c r="G20">
        <v>8</v>
      </c>
      <c r="H20">
        <f>Tablo1[[#This Row],[PLANLI_SÜRE]]-Tablo1[[#This Row],[DURUŞ_SÜRE]]</f>
        <v>452</v>
      </c>
      <c r="I20">
        <f>Tablo1[[#This Row],[TOPLAM ÜRETİM]]-Tablo1[[#This Row],[HATALI ÜRETİM]]</f>
        <v>305</v>
      </c>
      <c r="J20" s="2">
        <f>Tablo1[[#This Row],[NET SÜRE]]/Tablo1[[#This Row],[PLANLI_SÜRE]]</f>
        <v>0.90763052208835338</v>
      </c>
      <c r="K20" s="2">
        <f>Tablo1[[#This Row],[SAĞLAM ÜRETİM]]/Tablo1[[#This Row],[TOPLAM ÜRETİM]]</f>
        <v>0.9744408945686901</v>
      </c>
      <c r="L20" s="3">
        <f>Tablo1[[#This Row],[KULLANILABİLİRLİK]]*Tablo1[[#This Row],[KALİTE ORANI]]</f>
        <v>0.88443229788162225</v>
      </c>
    </row>
    <row r="21" spans="1:12" x14ac:dyDescent="0.3">
      <c r="A21" s="1">
        <v>46046</v>
      </c>
      <c r="B21" t="s">
        <v>11</v>
      </c>
      <c r="C21" t="s">
        <v>8</v>
      </c>
      <c r="D21">
        <v>499</v>
      </c>
      <c r="E21">
        <v>72</v>
      </c>
      <c r="F21">
        <v>398</v>
      </c>
      <c r="G21">
        <v>14</v>
      </c>
      <c r="H21">
        <f>Tablo1[[#This Row],[PLANLI_SÜRE]]-Tablo1[[#This Row],[DURUŞ_SÜRE]]</f>
        <v>427</v>
      </c>
      <c r="I21">
        <f>Tablo1[[#This Row],[TOPLAM ÜRETİM]]-Tablo1[[#This Row],[HATALI ÜRETİM]]</f>
        <v>384</v>
      </c>
      <c r="J21" s="2">
        <f>Tablo1[[#This Row],[NET SÜRE]]/Tablo1[[#This Row],[PLANLI_SÜRE]]</f>
        <v>0.85571142284569135</v>
      </c>
      <c r="K21" s="2">
        <f>Tablo1[[#This Row],[SAĞLAM ÜRETİM]]/Tablo1[[#This Row],[TOPLAM ÜRETİM]]</f>
        <v>0.96482412060301503</v>
      </c>
      <c r="L21" s="3">
        <f>Tablo1[[#This Row],[KULLANILABİLİRLİK]]*Tablo1[[#This Row],[KALİTE ORANI]]</f>
        <v>0.82561102103704886</v>
      </c>
    </row>
    <row r="22" spans="1:12" x14ac:dyDescent="0.3">
      <c r="A22" s="1">
        <v>46047</v>
      </c>
      <c r="B22" t="s">
        <v>7</v>
      </c>
      <c r="C22" t="s">
        <v>8</v>
      </c>
      <c r="D22">
        <v>500</v>
      </c>
      <c r="E22">
        <v>22</v>
      </c>
      <c r="F22">
        <v>495</v>
      </c>
      <c r="G22">
        <v>9</v>
      </c>
      <c r="H22">
        <f>Tablo1[[#This Row],[PLANLI_SÜRE]]-Tablo1[[#This Row],[DURUŞ_SÜRE]]</f>
        <v>478</v>
      </c>
      <c r="I22">
        <f>Tablo1[[#This Row],[TOPLAM ÜRETİM]]-Tablo1[[#This Row],[HATALI ÜRETİM]]</f>
        <v>486</v>
      </c>
      <c r="J22" s="2">
        <f>Tablo1[[#This Row],[NET SÜRE]]/Tablo1[[#This Row],[PLANLI_SÜRE]]</f>
        <v>0.95599999999999996</v>
      </c>
      <c r="K22" s="2">
        <f>Tablo1[[#This Row],[SAĞLAM ÜRETİM]]/Tablo1[[#This Row],[TOPLAM ÜRETİM]]</f>
        <v>0.98181818181818181</v>
      </c>
      <c r="L22" s="3">
        <f>Tablo1[[#This Row],[KULLANILABİLİRLİK]]*Tablo1[[#This Row],[KALİTE ORANI]]</f>
        <v>0.9386181818181818</v>
      </c>
    </row>
    <row r="23" spans="1:12" x14ac:dyDescent="0.3">
      <c r="A23" s="1">
        <v>46048</v>
      </c>
      <c r="B23" t="s">
        <v>11</v>
      </c>
      <c r="C23" t="s">
        <v>10</v>
      </c>
      <c r="D23">
        <v>501</v>
      </c>
      <c r="E23">
        <v>68</v>
      </c>
      <c r="F23">
        <v>362</v>
      </c>
      <c r="G23">
        <v>6</v>
      </c>
      <c r="H23">
        <f>Tablo1[[#This Row],[PLANLI_SÜRE]]-Tablo1[[#This Row],[DURUŞ_SÜRE]]</f>
        <v>433</v>
      </c>
      <c r="I23">
        <f>Tablo1[[#This Row],[TOPLAM ÜRETİM]]-Tablo1[[#This Row],[HATALI ÜRETİM]]</f>
        <v>356</v>
      </c>
      <c r="J23" s="2">
        <f>Tablo1[[#This Row],[NET SÜRE]]/Tablo1[[#This Row],[PLANLI_SÜRE]]</f>
        <v>0.86427145708582831</v>
      </c>
      <c r="K23" s="2">
        <f>Tablo1[[#This Row],[SAĞLAM ÜRETİM]]/Tablo1[[#This Row],[TOPLAM ÜRETİM]]</f>
        <v>0.98342541436464093</v>
      </c>
      <c r="L23" s="3">
        <f>Tablo1[[#This Row],[KULLANILABİLİRLİK]]*Tablo1[[#This Row],[KALİTE ORANI]]</f>
        <v>0.84994651580816272</v>
      </c>
    </row>
    <row r="24" spans="1:12" x14ac:dyDescent="0.3">
      <c r="A24" s="1">
        <v>46029</v>
      </c>
      <c r="B24" t="s">
        <v>7</v>
      </c>
      <c r="C24" t="s">
        <v>10</v>
      </c>
      <c r="D24">
        <v>502</v>
      </c>
      <c r="E24">
        <v>43</v>
      </c>
      <c r="F24">
        <v>426</v>
      </c>
      <c r="G24">
        <v>0</v>
      </c>
      <c r="H24">
        <f>Tablo1[[#This Row],[PLANLI_SÜRE]]-Tablo1[[#This Row],[DURUŞ_SÜRE]]</f>
        <v>459</v>
      </c>
      <c r="I24">
        <f>Tablo1[[#This Row],[TOPLAM ÜRETİM]]-Tablo1[[#This Row],[HATALI ÜRETİM]]</f>
        <v>426</v>
      </c>
      <c r="J24" s="2">
        <f>Tablo1[[#This Row],[NET SÜRE]]/Tablo1[[#This Row],[PLANLI_SÜRE]]</f>
        <v>0.91434262948207168</v>
      </c>
      <c r="K24" s="2">
        <f>Tablo1[[#This Row],[SAĞLAM ÜRETİM]]/Tablo1[[#This Row],[TOPLAM ÜRETİM]]</f>
        <v>1</v>
      </c>
      <c r="L24" s="3">
        <f>Tablo1[[#This Row],[KULLANILABİLİRLİK]]*Tablo1[[#This Row],[KALİTE ORANI]]</f>
        <v>0.91434262948207168</v>
      </c>
    </row>
    <row r="25" spans="1:12" x14ac:dyDescent="0.3">
      <c r="A25" s="1">
        <v>46023</v>
      </c>
      <c r="B25" t="s">
        <v>9</v>
      </c>
      <c r="C25" t="s">
        <v>10</v>
      </c>
      <c r="D25">
        <v>503</v>
      </c>
      <c r="E25">
        <v>46</v>
      </c>
      <c r="F25">
        <v>340</v>
      </c>
      <c r="G25">
        <v>9</v>
      </c>
      <c r="H25">
        <f>Tablo1[[#This Row],[PLANLI_SÜRE]]-Tablo1[[#This Row],[DURUŞ_SÜRE]]</f>
        <v>457</v>
      </c>
      <c r="I25">
        <f>Tablo1[[#This Row],[TOPLAM ÜRETİM]]-Tablo1[[#This Row],[HATALI ÜRETİM]]</f>
        <v>331</v>
      </c>
      <c r="J25" s="2">
        <f>Tablo1[[#This Row],[NET SÜRE]]/Tablo1[[#This Row],[PLANLI_SÜRE]]</f>
        <v>0.90854870775347918</v>
      </c>
      <c r="K25" s="2">
        <f>Tablo1[[#This Row],[SAĞLAM ÜRETİM]]/Tablo1[[#This Row],[TOPLAM ÜRETİM]]</f>
        <v>0.97352941176470587</v>
      </c>
      <c r="L25" s="3">
        <f>Tablo1[[#This Row],[KULLANILABİLİRLİK]]*Tablo1[[#This Row],[KALİTE ORANI]]</f>
        <v>0.88449888901882823</v>
      </c>
    </row>
    <row r="26" spans="1:12" x14ac:dyDescent="0.3">
      <c r="A26" s="1">
        <v>46043</v>
      </c>
      <c r="B26" t="s">
        <v>11</v>
      </c>
      <c r="C26" t="s">
        <v>10</v>
      </c>
      <c r="D26">
        <v>504</v>
      </c>
      <c r="E26">
        <v>40</v>
      </c>
      <c r="F26">
        <v>319</v>
      </c>
      <c r="G26">
        <v>4</v>
      </c>
      <c r="H26">
        <f>Tablo1[[#This Row],[PLANLI_SÜRE]]-Tablo1[[#This Row],[DURUŞ_SÜRE]]</f>
        <v>464</v>
      </c>
      <c r="I26">
        <f>Tablo1[[#This Row],[TOPLAM ÜRETİM]]-Tablo1[[#This Row],[HATALI ÜRETİM]]</f>
        <v>315</v>
      </c>
      <c r="J26" s="2">
        <f>Tablo1[[#This Row],[NET SÜRE]]/Tablo1[[#This Row],[PLANLI_SÜRE]]</f>
        <v>0.92063492063492058</v>
      </c>
      <c r="K26" s="2">
        <f>Tablo1[[#This Row],[SAĞLAM ÜRETİM]]/Tablo1[[#This Row],[TOPLAM ÜRETİM]]</f>
        <v>0.98746081504702199</v>
      </c>
      <c r="L26" s="3">
        <f>Tablo1[[#This Row],[KULLANILABİLİRLİK]]*Tablo1[[#This Row],[KALİTE ORANI]]</f>
        <v>0.90909090909090906</v>
      </c>
    </row>
    <row r="27" spans="1:12" x14ac:dyDescent="0.3">
      <c r="A27" s="1">
        <v>46053</v>
      </c>
      <c r="B27" t="s">
        <v>11</v>
      </c>
      <c r="C27" t="s">
        <v>10</v>
      </c>
      <c r="D27">
        <v>505</v>
      </c>
      <c r="E27">
        <v>72</v>
      </c>
      <c r="F27">
        <v>409</v>
      </c>
      <c r="G27">
        <v>4</v>
      </c>
      <c r="H27">
        <f>Tablo1[[#This Row],[PLANLI_SÜRE]]-Tablo1[[#This Row],[DURUŞ_SÜRE]]</f>
        <v>433</v>
      </c>
      <c r="I27">
        <f>Tablo1[[#This Row],[TOPLAM ÜRETİM]]-Tablo1[[#This Row],[HATALI ÜRETİM]]</f>
        <v>405</v>
      </c>
      <c r="J27" s="2">
        <f>Tablo1[[#This Row],[NET SÜRE]]/Tablo1[[#This Row],[PLANLI_SÜRE]]</f>
        <v>0.85742574257425741</v>
      </c>
      <c r="K27" s="2">
        <f>Tablo1[[#This Row],[SAĞLAM ÜRETİM]]/Tablo1[[#This Row],[TOPLAM ÜRETİM]]</f>
        <v>0.99022004889975546</v>
      </c>
      <c r="L27" s="3">
        <f>Tablo1[[#This Row],[KULLANILABİLİRLİK]]*Tablo1[[#This Row],[KALİTE ORANI]]</f>
        <v>0.84904016073979027</v>
      </c>
    </row>
    <row r="28" spans="1:12" x14ac:dyDescent="0.3">
      <c r="A28" s="1">
        <v>46032</v>
      </c>
      <c r="B28" t="s">
        <v>9</v>
      </c>
      <c r="C28" t="s">
        <v>10</v>
      </c>
      <c r="D28">
        <v>506</v>
      </c>
      <c r="E28">
        <v>75</v>
      </c>
      <c r="F28">
        <v>378</v>
      </c>
      <c r="G28">
        <v>9</v>
      </c>
      <c r="H28">
        <f>Tablo1[[#This Row],[PLANLI_SÜRE]]-Tablo1[[#This Row],[DURUŞ_SÜRE]]</f>
        <v>431</v>
      </c>
      <c r="I28">
        <f>Tablo1[[#This Row],[TOPLAM ÜRETİM]]-Tablo1[[#This Row],[HATALI ÜRETİM]]</f>
        <v>369</v>
      </c>
      <c r="J28" s="2">
        <f>Tablo1[[#This Row],[NET SÜRE]]/Tablo1[[#This Row],[PLANLI_SÜRE]]</f>
        <v>0.85177865612648218</v>
      </c>
      <c r="K28" s="2">
        <f>Tablo1[[#This Row],[SAĞLAM ÜRETİM]]/Tablo1[[#This Row],[TOPLAM ÜRETİM]]</f>
        <v>0.97619047619047616</v>
      </c>
      <c r="L28" s="3">
        <f>Tablo1[[#This Row],[KULLANILABİLİRLİK]]*Tablo1[[#This Row],[KALİTE ORANI]]</f>
        <v>0.83149821193299445</v>
      </c>
    </row>
    <row r="29" spans="1:12" x14ac:dyDescent="0.3">
      <c r="A29" s="1">
        <v>46036</v>
      </c>
      <c r="B29" t="s">
        <v>7</v>
      </c>
      <c r="C29" t="s">
        <v>8</v>
      </c>
      <c r="D29">
        <v>507</v>
      </c>
      <c r="E29">
        <v>7</v>
      </c>
      <c r="F29">
        <v>414</v>
      </c>
      <c r="G29">
        <v>5</v>
      </c>
      <c r="H29">
        <f>Tablo1[[#This Row],[PLANLI_SÜRE]]-Tablo1[[#This Row],[DURUŞ_SÜRE]]</f>
        <v>500</v>
      </c>
      <c r="I29">
        <f>Tablo1[[#This Row],[TOPLAM ÜRETİM]]-Tablo1[[#This Row],[HATALI ÜRETİM]]</f>
        <v>409</v>
      </c>
      <c r="J29" s="2">
        <f>Tablo1[[#This Row],[NET SÜRE]]/Tablo1[[#This Row],[PLANLI_SÜRE]]</f>
        <v>0.98619329388560162</v>
      </c>
      <c r="K29" s="2">
        <f>Tablo1[[#This Row],[SAĞLAM ÜRETİM]]/Tablo1[[#This Row],[TOPLAM ÜRETİM]]</f>
        <v>0.98792270531400961</v>
      </c>
      <c r="L29" s="3">
        <f>Tablo1[[#This Row],[KULLANILABİLİRLİK]]*Tablo1[[#This Row],[KALİTE ORANI]]</f>
        <v>0.97428274685799765</v>
      </c>
    </row>
    <row r="30" spans="1:12" x14ac:dyDescent="0.3">
      <c r="A30" s="1">
        <v>46050</v>
      </c>
      <c r="B30" t="s">
        <v>11</v>
      </c>
      <c r="C30" t="s">
        <v>8</v>
      </c>
      <c r="D30">
        <v>508</v>
      </c>
      <c r="E30">
        <v>79</v>
      </c>
      <c r="F30">
        <v>472</v>
      </c>
      <c r="G30">
        <v>15</v>
      </c>
      <c r="H30">
        <f>Tablo1[[#This Row],[PLANLI_SÜRE]]-Tablo1[[#This Row],[DURUŞ_SÜRE]]</f>
        <v>429</v>
      </c>
      <c r="I30">
        <f>Tablo1[[#This Row],[TOPLAM ÜRETİM]]-Tablo1[[#This Row],[HATALI ÜRETİM]]</f>
        <v>457</v>
      </c>
      <c r="J30" s="2">
        <f>Tablo1[[#This Row],[NET SÜRE]]/Tablo1[[#This Row],[PLANLI_SÜRE]]</f>
        <v>0.84448818897637801</v>
      </c>
      <c r="K30" s="2">
        <f>Tablo1[[#This Row],[SAĞLAM ÜRETİM]]/Tablo1[[#This Row],[TOPLAM ÜRETİM]]</f>
        <v>0.96822033898305082</v>
      </c>
      <c r="L30" s="3">
        <f>Tablo1[[#This Row],[KULLANILABİLİRLİK]]*Tablo1[[#This Row],[KALİTE ORANI]]</f>
        <v>0.81765064059789139</v>
      </c>
    </row>
    <row r="31" spans="1:12" x14ac:dyDescent="0.3">
      <c r="A31" s="1">
        <v>46042</v>
      </c>
      <c r="B31" t="s">
        <v>9</v>
      </c>
      <c r="C31" t="s">
        <v>8</v>
      </c>
      <c r="D31">
        <v>509</v>
      </c>
      <c r="E31">
        <v>52</v>
      </c>
      <c r="F31">
        <v>440</v>
      </c>
      <c r="G31">
        <v>0</v>
      </c>
      <c r="H31">
        <f>Tablo1[[#This Row],[PLANLI_SÜRE]]-Tablo1[[#This Row],[DURUŞ_SÜRE]]</f>
        <v>457</v>
      </c>
      <c r="I31">
        <f>Tablo1[[#This Row],[TOPLAM ÜRETİM]]-Tablo1[[#This Row],[HATALI ÜRETİM]]</f>
        <v>440</v>
      </c>
      <c r="J31" s="2">
        <f>Tablo1[[#This Row],[NET SÜRE]]/Tablo1[[#This Row],[PLANLI_SÜRE]]</f>
        <v>0.89783889980353637</v>
      </c>
      <c r="K31" s="2">
        <f>Tablo1[[#This Row],[SAĞLAM ÜRETİM]]/Tablo1[[#This Row],[TOPLAM ÜRETİM]]</f>
        <v>1</v>
      </c>
      <c r="L31" s="3">
        <f>Tablo1[[#This Row],[KULLANILABİLİRLİK]]*Tablo1[[#This Row],[KALİTE ORANI]]</f>
        <v>0.89783889980353637</v>
      </c>
    </row>
    <row r="32" spans="1:12" x14ac:dyDescent="0.3">
      <c r="A32" s="1">
        <v>46041</v>
      </c>
      <c r="B32" t="s">
        <v>7</v>
      </c>
      <c r="C32" t="s">
        <v>8</v>
      </c>
      <c r="D32">
        <v>510</v>
      </c>
      <c r="E32">
        <v>85</v>
      </c>
      <c r="F32">
        <v>365</v>
      </c>
      <c r="G32">
        <v>12</v>
      </c>
      <c r="H32">
        <f>Tablo1[[#This Row],[PLANLI_SÜRE]]-Tablo1[[#This Row],[DURUŞ_SÜRE]]</f>
        <v>425</v>
      </c>
      <c r="I32">
        <f>Tablo1[[#This Row],[TOPLAM ÜRETİM]]-Tablo1[[#This Row],[HATALI ÜRETİM]]</f>
        <v>353</v>
      </c>
      <c r="J32" s="2">
        <f>Tablo1[[#This Row],[NET SÜRE]]/Tablo1[[#This Row],[PLANLI_SÜRE]]</f>
        <v>0.83333333333333337</v>
      </c>
      <c r="K32" s="2">
        <f>Tablo1[[#This Row],[SAĞLAM ÜRETİM]]/Tablo1[[#This Row],[TOPLAM ÜRETİM]]</f>
        <v>0.9671232876712329</v>
      </c>
      <c r="L32" s="3">
        <f>Tablo1[[#This Row],[KULLANILABİLİRLİK]]*Tablo1[[#This Row],[KALİTE ORANI]]</f>
        <v>0.80593607305936077</v>
      </c>
    </row>
    <row r="33" spans="1:12" x14ac:dyDescent="0.3">
      <c r="A33" s="1">
        <v>46037</v>
      </c>
      <c r="B33" t="s">
        <v>11</v>
      </c>
      <c r="C33" t="s">
        <v>8</v>
      </c>
      <c r="D33">
        <v>511</v>
      </c>
      <c r="E33">
        <v>89</v>
      </c>
      <c r="F33">
        <v>457</v>
      </c>
      <c r="G33">
        <v>14</v>
      </c>
      <c r="H33">
        <f>Tablo1[[#This Row],[PLANLI_SÜRE]]-Tablo1[[#This Row],[DURUŞ_SÜRE]]</f>
        <v>422</v>
      </c>
      <c r="I33">
        <f>Tablo1[[#This Row],[TOPLAM ÜRETİM]]-Tablo1[[#This Row],[HATALI ÜRETİM]]</f>
        <v>443</v>
      </c>
      <c r="J33" s="2">
        <f>Tablo1[[#This Row],[NET SÜRE]]/Tablo1[[#This Row],[PLANLI_SÜRE]]</f>
        <v>0.82583170254403127</v>
      </c>
      <c r="K33" s="2">
        <f>Tablo1[[#This Row],[SAĞLAM ÜRETİM]]/Tablo1[[#This Row],[TOPLAM ÜRETİM]]</f>
        <v>0.96936542669584247</v>
      </c>
      <c r="L33" s="3">
        <f>Tablo1[[#This Row],[KULLANILABİLİRLİK]]*Tablo1[[#This Row],[KALİTE ORANI]]</f>
        <v>0.80053270071554894</v>
      </c>
    </row>
    <row r="34" spans="1:12" x14ac:dyDescent="0.3">
      <c r="A34" s="1">
        <v>46038</v>
      </c>
      <c r="B34" t="s">
        <v>7</v>
      </c>
      <c r="C34" t="s">
        <v>8</v>
      </c>
      <c r="D34">
        <v>512</v>
      </c>
      <c r="E34">
        <v>49</v>
      </c>
      <c r="F34">
        <v>457</v>
      </c>
      <c r="G34">
        <v>4</v>
      </c>
      <c r="H34">
        <f>Tablo1[[#This Row],[PLANLI_SÜRE]]-Tablo1[[#This Row],[DURUŞ_SÜRE]]</f>
        <v>463</v>
      </c>
      <c r="I34">
        <f>Tablo1[[#This Row],[TOPLAM ÜRETİM]]-Tablo1[[#This Row],[HATALI ÜRETİM]]</f>
        <v>453</v>
      </c>
      <c r="J34" s="2">
        <f>Tablo1[[#This Row],[NET SÜRE]]/Tablo1[[#This Row],[PLANLI_SÜRE]]</f>
        <v>0.904296875</v>
      </c>
      <c r="K34" s="2">
        <f>Tablo1[[#This Row],[SAĞLAM ÜRETİM]]/Tablo1[[#This Row],[TOPLAM ÜRETİM]]</f>
        <v>0.99124726477024072</v>
      </c>
      <c r="L34" s="3">
        <f>Tablo1[[#This Row],[KULLANILABİLİRLİK]]*Tablo1[[#This Row],[KALİTE ORANI]]</f>
        <v>0.89638180388402633</v>
      </c>
    </row>
    <row r="35" spans="1:12" x14ac:dyDescent="0.3">
      <c r="A35" s="1">
        <v>46053</v>
      </c>
      <c r="B35" t="s">
        <v>7</v>
      </c>
      <c r="C35" t="s">
        <v>8</v>
      </c>
      <c r="D35">
        <v>513</v>
      </c>
      <c r="E35">
        <v>25</v>
      </c>
      <c r="F35">
        <v>301</v>
      </c>
      <c r="G35">
        <v>3</v>
      </c>
      <c r="H35">
        <f>Tablo1[[#This Row],[PLANLI_SÜRE]]-Tablo1[[#This Row],[DURUŞ_SÜRE]]</f>
        <v>488</v>
      </c>
      <c r="I35">
        <f>Tablo1[[#This Row],[TOPLAM ÜRETİM]]-Tablo1[[#This Row],[HATALI ÜRETİM]]</f>
        <v>298</v>
      </c>
      <c r="J35" s="2">
        <f>Tablo1[[#This Row],[NET SÜRE]]/Tablo1[[#This Row],[PLANLI_SÜRE]]</f>
        <v>0.95126705653021437</v>
      </c>
      <c r="K35" s="2">
        <f>Tablo1[[#This Row],[SAĞLAM ÜRETİM]]/Tablo1[[#This Row],[TOPLAM ÜRETİM]]</f>
        <v>0.99003322259136217</v>
      </c>
      <c r="L35" s="3">
        <f>Tablo1[[#This Row],[KULLANILABİLİRLİK]]*Tablo1[[#This Row],[KALİTE ORANI]]</f>
        <v>0.94178598952160764</v>
      </c>
    </row>
    <row r="36" spans="1:12" x14ac:dyDescent="0.3">
      <c r="A36" s="1">
        <v>46043</v>
      </c>
      <c r="B36" t="s">
        <v>7</v>
      </c>
      <c r="C36" t="s">
        <v>10</v>
      </c>
      <c r="D36">
        <v>514</v>
      </c>
      <c r="E36">
        <v>59</v>
      </c>
      <c r="F36">
        <v>443</v>
      </c>
      <c r="G36">
        <v>15</v>
      </c>
      <c r="H36">
        <f>Tablo1[[#This Row],[PLANLI_SÜRE]]-Tablo1[[#This Row],[DURUŞ_SÜRE]]</f>
        <v>455</v>
      </c>
      <c r="I36">
        <f>Tablo1[[#This Row],[TOPLAM ÜRETİM]]-Tablo1[[#This Row],[HATALI ÜRETİM]]</f>
        <v>428</v>
      </c>
      <c r="J36" s="2">
        <f>Tablo1[[#This Row],[NET SÜRE]]/Tablo1[[#This Row],[PLANLI_SÜRE]]</f>
        <v>0.88521400778210113</v>
      </c>
      <c r="K36" s="2">
        <f>Tablo1[[#This Row],[SAĞLAM ÜRETİM]]/Tablo1[[#This Row],[TOPLAM ÜRETİM]]</f>
        <v>0.96613995485327309</v>
      </c>
      <c r="L36" s="3">
        <f>Tablo1[[#This Row],[KULLANILABİLİRLİK]]*Tablo1[[#This Row],[KALİTE ORANI]]</f>
        <v>0.85524062151408409</v>
      </c>
    </row>
    <row r="37" spans="1:12" x14ac:dyDescent="0.3">
      <c r="A37" s="1">
        <v>46026</v>
      </c>
      <c r="B37" t="s">
        <v>9</v>
      </c>
      <c r="C37" t="s">
        <v>8</v>
      </c>
      <c r="D37">
        <v>515</v>
      </c>
      <c r="E37">
        <v>10</v>
      </c>
      <c r="F37">
        <v>496</v>
      </c>
      <c r="G37">
        <v>6</v>
      </c>
      <c r="H37">
        <f>Tablo1[[#This Row],[PLANLI_SÜRE]]-Tablo1[[#This Row],[DURUŞ_SÜRE]]</f>
        <v>505</v>
      </c>
      <c r="I37">
        <f>Tablo1[[#This Row],[TOPLAM ÜRETİM]]-Tablo1[[#This Row],[HATALI ÜRETİM]]</f>
        <v>490</v>
      </c>
      <c r="J37" s="2">
        <f>Tablo1[[#This Row],[NET SÜRE]]/Tablo1[[#This Row],[PLANLI_SÜRE]]</f>
        <v>0.98058252427184467</v>
      </c>
      <c r="K37" s="2">
        <f>Tablo1[[#This Row],[SAĞLAM ÜRETİM]]/Tablo1[[#This Row],[TOPLAM ÜRETİM]]</f>
        <v>0.98790322580645162</v>
      </c>
      <c r="L37" s="3">
        <f>Tablo1[[#This Row],[KULLANILABİLİRLİK]]*Tablo1[[#This Row],[KALİTE ORANI]]</f>
        <v>0.96872063889758853</v>
      </c>
    </row>
    <row r="38" spans="1:12" x14ac:dyDescent="0.3">
      <c r="A38" s="1">
        <v>46034</v>
      </c>
      <c r="B38" t="s">
        <v>9</v>
      </c>
      <c r="C38" t="s">
        <v>10</v>
      </c>
      <c r="D38">
        <v>516</v>
      </c>
      <c r="E38">
        <v>78</v>
      </c>
      <c r="F38">
        <v>349</v>
      </c>
      <c r="G38">
        <v>1</v>
      </c>
      <c r="H38">
        <f>Tablo1[[#This Row],[PLANLI_SÜRE]]-Tablo1[[#This Row],[DURUŞ_SÜRE]]</f>
        <v>438</v>
      </c>
      <c r="I38">
        <f>Tablo1[[#This Row],[TOPLAM ÜRETİM]]-Tablo1[[#This Row],[HATALI ÜRETİM]]</f>
        <v>348</v>
      </c>
      <c r="J38" s="2">
        <f>Tablo1[[#This Row],[NET SÜRE]]/Tablo1[[#This Row],[PLANLI_SÜRE]]</f>
        <v>0.84883720930232553</v>
      </c>
      <c r="K38" s="2">
        <f>Tablo1[[#This Row],[SAĞLAM ÜRETİM]]/Tablo1[[#This Row],[TOPLAM ÜRETİM]]</f>
        <v>0.99713467048710602</v>
      </c>
      <c r="L38" s="3">
        <f>Tablo1[[#This Row],[KULLANILABİLİRLİK]]*Tablo1[[#This Row],[KALİTE ORANI]]</f>
        <v>0.84640501099486898</v>
      </c>
    </row>
    <row r="39" spans="1:12" x14ac:dyDescent="0.3">
      <c r="A39" s="1">
        <v>46026</v>
      </c>
      <c r="B39" t="s">
        <v>9</v>
      </c>
      <c r="C39" t="s">
        <v>8</v>
      </c>
      <c r="D39">
        <v>517</v>
      </c>
      <c r="E39">
        <v>20</v>
      </c>
      <c r="F39">
        <v>401</v>
      </c>
      <c r="G39">
        <v>6</v>
      </c>
      <c r="H39">
        <f>Tablo1[[#This Row],[PLANLI_SÜRE]]-Tablo1[[#This Row],[DURUŞ_SÜRE]]</f>
        <v>497</v>
      </c>
      <c r="I39">
        <f>Tablo1[[#This Row],[TOPLAM ÜRETİM]]-Tablo1[[#This Row],[HATALI ÜRETİM]]</f>
        <v>395</v>
      </c>
      <c r="J39" s="2">
        <f>Tablo1[[#This Row],[NET SÜRE]]/Tablo1[[#This Row],[PLANLI_SÜRE]]</f>
        <v>0.96131528046421666</v>
      </c>
      <c r="K39" s="2">
        <f>Tablo1[[#This Row],[SAĞLAM ÜRETİM]]/Tablo1[[#This Row],[TOPLAM ÜRETİM]]</f>
        <v>0.98503740648379057</v>
      </c>
      <c r="L39" s="3">
        <f>Tablo1[[#This Row],[KULLANILABİLİRLİK]]*Tablo1[[#This Row],[KALİTE ORANI]]</f>
        <v>0.94693151068170967</v>
      </c>
    </row>
    <row r="40" spans="1:12" x14ac:dyDescent="0.3">
      <c r="A40" s="1">
        <v>46031</v>
      </c>
      <c r="B40" t="s">
        <v>7</v>
      </c>
      <c r="C40" t="s">
        <v>10</v>
      </c>
      <c r="D40">
        <v>518</v>
      </c>
      <c r="E40">
        <v>71</v>
      </c>
      <c r="F40">
        <v>472</v>
      </c>
      <c r="G40">
        <v>1</v>
      </c>
      <c r="H40">
        <f>Tablo1[[#This Row],[PLANLI_SÜRE]]-Tablo1[[#This Row],[DURUŞ_SÜRE]]</f>
        <v>447</v>
      </c>
      <c r="I40">
        <f>Tablo1[[#This Row],[TOPLAM ÜRETİM]]-Tablo1[[#This Row],[HATALI ÜRETİM]]</f>
        <v>471</v>
      </c>
      <c r="J40" s="2">
        <f>Tablo1[[#This Row],[NET SÜRE]]/Tablo1[[#This Row],[PLANLI_SÜRE]]</f>
        <v>0.86293436293436299</v>
      </c>
      <c r="K40" s="2">
        <f>Tablo1[[#This Row],[SAĞLAM ÜRETİM]]/Tablo1[[#This Row],[TOPLAM ÜRETİM]]</f>
        <v>0.9978813559322034</v>
      </c>
      <c r="L40" s="3">
        <f>Tablo1[[#This Row],[KULLANILABİLİRLİK]]*Tablo1[[#This Row],[KALİTE ORANI]]</f>
        <v>0.8611061121654342</v>
      </c>
    </row>
    <row r="41" spans="1:12" x14ac:dyDescent="0.3">
      <c r="A41" s="1">
        <v>46037</v>
      </c>
      <c r="B41" t="s">
        <v>11</v>
      </c>
      <c r="C41" t="s">
        <v>8</v>
      </c>
      <c r="D41">
        <v>519</v>
      </c>
      <c r="E41">
        <v>33</v>
      </c>
      <c r="F41">
        <v>347</v>
      </c>
      <c r="G41">
        <v>11</v>
      </c>
      <c r="H41">
        <f>Tablo1[[#This Row],[PLANLI_SÜRE]]-Tablo1[[#This Row],[DURUŞ_SÜRE]]</f>
        <v>486</v>
      </c>
      <c r="I41">
        <f>Tablo1[[#This Row],[TOPLAM ÜRETİM]]-Tablo1[[#This Row],[HATALI ÜRETİM]]</f>
        <v>336</v>
      </c>
      <c r="J41" s="2">
        <f>Tablo1[[#This Row],[NET SÜRE]]/Tablo1[[#This Row],[PLANLI_SÜRE]]</f>
        <v>0.93641618497109824</v>
      </c>
      <c r="K41" s="2">
        <f>Tablo1[[#This Row],[SAĞLAM ÜRETİM]]/Tablo1[[#This Row],[TOPLAM ÜRETİM]]</f>
        <v>0.96829971181556196</v>
      </c>
      <c r="L41" s="3">
        <f>Tablo1[[#This Row],[KULLANILABİLİRLİK]]*Tablo1[[#This Row],[KALİTE ORANI]]</f>
        <v>0.90673152204694241</v>
      </c>
    </row>
    <row r="42" spans="1:12" x14ac:dyDescent="0.3">
      <c r="A42" s="1">
        <v>46043</v>
      </c>
      <c r="B42" t="s">
        <v>11</v>
      </c>
      <c r="C42" t="s">
        <v>10</v>
      </c>
      <c r="D42">
        <v>520</v>
      </c>
      <c r="E42">
        <v>9</v>
      </c>
      <c r="F42">
        <v>393</v>
      </c>
      <c r="G42">
        <v>2</v>
      </c>
      <c r="H42">
        <f>Tablo1[[#This Row],[PLANLI_SÜRE]]-Tablo1[[#This Row],[DURUŞ_SÜRE]]</f>
        <v>511</v>
      </c>
      <c r="I42">
        <f>Tablo1[[#This Row],[TOPLAM ÜRETİM]]-Tablo1[[#This Row],[HATALI ÜRETİM]]</f>
        <v>391</v>
      </c>
      <c r="J42" s="2">
        <f>Tablo1[[#This Row],[NET SÜRE]]/Tablo1[[#This Row],[PLANLI_SÜRE]]</f>
        <v>0.98269230769230764</v>
      </c>
      <c r="K42" s="2">
        <f>Tablo1[[#This Row],[SAĞLAM ÜRETİM]]/Tablo1[[#This Row],[TOPLAM ÜRETİM]]</f>
        <v>0.99491094147582693</v>
      </c>
      <c r="L42" s="3">
        <f>Tablo1[[#This Row],[KULLANILABİLİRLİK]]*Tablo1[[#This Row],[KALİTE ORANI]]</f>
        <v>0.97769132902720679</v>
      </c>
    </row>
    <row r="43" spans="1:12" x14ac:dyDescent="0.3">
      <c r="A43" s="1">
        <v>46035</v>
      </c>
      <c r="B43" t="s">
        <v>7</v>
      </c>
      <c r="C43" t="s">
        <v>8</v>
      </c>
      <c r="D43">
        <v>521</v>
      </c>
      <c r="E43">
        <v>69</v>
      </c>
      <c r="F43">
        <v>339</v>
      </c>
      <c r="G43">
        <v>0</v>
      </c>
      <c r="H43">
        <f>Tablo1[[#This Row],[PLANLI_SÜRE]]-Tablo1[[#This Row],[DURUŞ_SÜRE]]</f>
        <v>452</v>
      </c>
      <c r="I43">
        <f>Tablo1[[#This Row],[TOPLAM ÜRETİM]]-Tablo1[[#This Row],[HATALI ÜRETİM]]</f>
        <v>339</v>
      </c>
      <c r="J43" s="2">
        <f>Tablo1[[#This Row],[NET SÜRE]]/Tablo1[[#This Row],[PLANLI_SÜRE]]</f>
        <v>0.8675623800383877</v>
      </c>
      <c r="K43" s="2">
        <f>Tablo1[[#This Row],[SAĞLAM ÜRETİM]]/Tablo1[[#This Row],[TOPLAM ÜRETİM]]</f>
        <v>1</v>
      </c>
      <c r="L43" s="3">
        <f>Tablo1[[#This Row],[KULLANILABİLİRLİK]]*Tablo1[[#This Row],[KALİTE ORANI]]</f>
        <v>0.8675623800383877</v>
      </c>
    </row>
    <row r="44" spans="1:12" x14ac:dyDescent="0.3">
      <c r="A44" s="1">
        <v>46033</v>
      </c>
      <c r="B44" t="s">
        <v>11</v>
      </c>
      <c r="C44" t="s">
        <v>8</v>
      </c>
      <c r="D44">
        <v>522</v>
      </c>
      <c r="E44">
        <v>25</v>
      </c>
      <c r="F44">
        <v>349</v>
      </c>
      <c r="G44">
        <v>0</v>
      </c>
      <c r="H44">
        <f>Tablo1[[#This Row],[PLANLI_SÜRE]]-Tablo1[[#This Row],[DURUŞ_SÜRE]]</f>
        <v>497</v>
      </c>
      <c r="I44">
        <f>Tablo1[[#This Row],[TOPLAM ÜRETİM]]-Tablo1[[#This Row],[HATALI ÜRETİM]]</f>
        <v>349</v>
      </c>
      <c r="J44" s="2">
        <f>Tablo1[[#This Row],[NET SÜRE]]/Tablo1[[#This Row],[PLANLI_SÜRE]]</f>
        <v>0.95210727969348663</v>
      </c>
      <c r="K44" s="2">
        <f>Tablo1[[#This Row],[SAĞLAM ÜRETİM]]/Tablo1[[#This Row],[TOPLAM ÜRETİM]]</f>
        <v>1</v>
      </c>
      <c r="L44" s="3">
        <f>Tablo1[[#This Row],[KULLANILABİLİRLİK]]*Tablo1[[#This Row],[KALİTE ORANI]]</f>
        <v>0.95210727969348663</v>
      </c>
    </row>
    <row r="45" spans="1:12" x14ac:dyDescent="0.3">
      <c r="A45" s="1">
        <v>46046</v>
      </c>
      <c r="B45" t="s">
        <v>11</v>
      </c>
      <c r="C45" t="s">
        <v>10</v>
      </c>
      <c r="D45">
        <v>523</v>
      </c>
      <c r="E45">
        <v>50</v>
      </c>
      <c r="F45">
        <v>412</v>
      </c>
      <c r="G45">
        <v>14</v>
      </c>
      <c r="H45">
        <f>Tablo1[[#This Row],[PLANLI_SÜRE]]-Tablo1[[#This Row],[DURUŞ_SÜRE]]</f>
        <v>473</v>
      </c>
      <c r="I45">
        <f>Tablo1[[#This Row],[TOPLAM ÜRETİM]]-Tablo1[[#This Row],[HATALI ÜRETİM]]</f>
        <v>398</v>
      </c>
      <c r="J45" s="2">
        <f>Tablo1[[#This Row],[NET SÜRE]]/Tablo1[[#This Row],[PLANLI_SÜRE]]</f>
        <v>0.90439770554493304</v>
      </c>
      <c r="K45" s="2">
        <f>Tablo1[[#This Row],[SAĞLAM ÜRETİM]]/Tablo1[[#This Row],[TOPLAM ÜRETİM]]</f>
        <v>0.96601941747572817</v>
      </c>
      <c r="L45" s="3">
        <f>Tablo1[[#This Row],[KULLANILABİLİRLİK]]*Tablo1[[#This Row],[KALİTE ORANI]]</f>
        <v>0.87366574467690139</v>
      </c>
    </row>
    <row r="46" spans="1:12" x14ac:dyDescent="0.3">
      <c r="A46" s="1">
        <v>46044</v>
      </c>
      <c r="B46" t="s">
        <v>7</v>
      </c>
      <c r="C46" t="s">
        <v>8</v>
      </c>
      <c r="D46">
        <v>524</v>
      </c>
      <c r="E46">
        <v>57</v>
      </c>
      <c r="F46">
        <v>395</v>
      </c>
      <c r="G46">
        <v>5</v>
      </c>
      <c r="H46">
        <f>Tablo1[[#This Row],[PLANLI_SÜRE]]-Tablo1[[#This Row],[DURUŞ_SÜRE]]</f>
        <v>467</v>
      </c>
      <c r="I46">
        <f>Tablo1[[#This Row],[TOPLAM ÜRETİM]]-Tablo1[[#This Row],[HATALI ÜRETİM]]</f>
        <v>390</v>
      </c>
      <c r="J46" s="2">
        <f>Tablo1[[#This Row],[NET SÜRE]]/Tablo1[[#This Row],[PLANLI_SÜRE]]</f>
        <v>0.89122137404580148</v>
      </c>
      <c r="K46" s="2">
        <f>Tablo1[[#This Row],[SAĞLAM ÜRETİM]]/Tablo1[[#This Row],[TOPLAM ÜRETİM]]</f>
        <v>0.98734177215189878</v>
      </c>
      <c r="L46" s="3">
        <f>Tablo1[[#This Row],[KULLANILABİLİRLİK]]*Tablo1[[#This Row],[KALİTE ORANI]]</f>
        <v>0.87994009083003188</v>
      </c>
    </row>
    <row r="47" spans="1:12" x14ac:dyDescent="0.3">
      <c r="A47" s="1">
        <v>46045</v>
      </c>
      <c r="B47" t="s">
        <v>11</v>
      </c>
      <c r="C47" t="s">
        <v>8</v>
      </c>
      <c r="D47">
        <v>525</v>
      </c>
      <c r="E47">
        <v>47</v>
      </c>
      <c r="F47">
        <v>385</v>
      </c>
      <c r="G47">
        <v>14</v>
      </c>
      <c r="H47">
        <f>Tablo1[[#This Row],[PLANLI_SÜRE]]-Tablo1[[#This Row],[DURUŞ_SÜRE]]</f>
        <v>478</v>
      </c>
      <c r="I47">
        <f>Tablo1[[#This Row],[TOPLAM ÜRETİM]]-Tablo1[[#This Row],[HATALI ÜRETİM]]</f>
        <v>371</v>
      </c>
      <c r="J47" s="2">
        <f>Tablo1[[#This Row],[NET SÜRE]]/Tablo1[[#This Row],[PLANLI_SÜRE]]</f>
        <v>0.91047619047619044</v>
      </c>
      <c r="K47" s="2">
        <f>Tablo1[[#This Row],[SAĞLAM ÜRETİM]]/Tablo1[[#This Row],[TOPLAM ÜRETİM]]</f>
        <v>0.96363636363636362</v>
      </c>
      <c r="L47" s="3">
        <f>Tablo1[[#This Row],[KULLANILABİLİRLİK]]*Tablo1[[#This Row],[KALİTE ORANI]]</f>
        <v>0.87736796536796535</v>
      </c>
    </row>
    <row r="48" spans="1:12" x14ac:dyDescent="0.3">
      <c r="A48" s="1">
        <v>46041</v>
      </c>
      <c r="B48" t="s">
        <v>9</v>
      </c>
      <c r="C48" t="s">
        <v>8</v>
      </c>
      <c r="D48">
        <v>526</v>
      </c>
      <c r="E48">
        <v>30</v>
      </c>
      <c r="F48">
        <v>362</v>
      </c>
      <c r="G48">
        <v>13</v>
      </c>
      <c r="H48">
        <f>Tablo1[[#This Row],[PLANLI_SÜRE]]-Tablo1[[#This Row],[DURUŞ_SÜRE]]</f>
        <v>496</v>
      </c>
      <c r="I48">
        <f>Tablo1[[#This Row],[TOPLAM ÜRETİM]]-Tablo1[[#This Row],[HATALI ÜRETİM]]</f>
        <v>349</v>
      </c>
      <c r="J48" s="2">
        <f>Tablo1[[#This Row],[NET SÜRE]]/Tablo1[[#This Row],[PLANLI_SÜRE]]</f>
        <v>0.94296577946768056</v>
      </c>
      <c r="K48" s="2">
        <f>Tablo1[[#This Row],[SAĞLAM ÜRETİM]]/Tablo1[[#This Row],[TOPLAM ÜRETİM]]</f>
        <v>0.96408839779005528</v>
      </c>
      <c r="L48" s="3">
        <f>Tablo1[[#This Row],[KULLANILABİLİRLİK]]*Tablo1[[#This Row],[KALİTE ORANI]]</f>
        <v>0.90910236749784679</v>
      </c>
    </row>
    <row r="49" spans="1:12" x14ac:dyDescent="0.3">
      <c r="A49" s="1">
        <v>46040</v>
      </c>
      <c r="B49" t="s">
        <v>9</v>
      </c>
      <c r="C49" t="s">
        <v>10</v>
      </c>
      <c r="D49">
        <v>527</v>
      </c>
      <c r="E49">
        <v>61</v>
      </c>
      <c r="F49">
        <v>433</v>
      </c>
      <c r="G49">
        <v>3</v>
      </c>
      <c r="H49">
        <f>Tablo1[[#This Row],[PLANLI_SÜRE]]-Tablo1[[#This Row],[DURUŞ_SÜRE]]</f>
        <v>466</v>
      </c>
      <c r="I49">
        <f>Tablo1[[#This Row],[TOPLAM ÜRETİM]]-Tablo1[[#This Row],[HATALI ÜRETİM]]</f>
        <v>430</v>
      </c>
      <c r="J49" s="2">
        <f>Tablo1[[#This Row],[NET SÜRE]]/Tablo1[[#This Row],[PLANLI_SÜRE]]</f>
        <v>0.88425047438330173</v>
      </c>
      <c r="K49" s="2">
        <f>Tablo1[[#This Row],[SAĞLAM ÜRETİM]]/Tablo1[[#This Row],[TOPLAM ÜRETİM]]</f>
        <v>0.99307159353348728</v>
      </c>
      <c r="L49" s="3">
        <f>Tablo1[[#This Row],[KULLANILABİLİRLİK]]*Tablo1[[#This Row],[KALİTE ORANI]]</f>
        <v>0.87812402767856756</v>
      </c>
    </row>
    <row r="50" spans="1:12" x14ac:dyDescent="0.3">
      <c r="A50" s="1">
        <v>46052</v>
      </c>
      <c r="B50" t="s">
        <v>11</v>
      </c>
      <c r="C50" t="s">
        <v>8</v>
      </c>
      <c r="D50">
        <v>528</v>
      </c>
      <c r="E50">
        <v>75</v>
      </c>
      <c r="F50">
        <v>490</v>
      </c>
      <c r="G50">
        <v>2</v>
      </c>
      <c r="H50">
        <f>Tablo1[[#This Row],[PLANLI_SÜRE]]-Tablo1[[#This Row],[DURUŞ_SÜRE]]</f>
        <v>453</v>
      </c>
      <c r="I50">
        <f>Tablo1[[#This Row],[TOPLAM ÜRETİM]]-Tablo1[[#This Row],[HATALI ÜRETİM]]</f>
        <v>488</v>
      </c>
      <c r="J50" s="2">
        <f>Tablo1[[#This Row],[NET SÜRE]]/Tablo1[[#This Row],[PLANLI_SÜRE]]</f>
        <v>0.85795454545454541</v>
      </c>
      <c r="K50" s="2">
        <f>Tablo1[[#This Row],[SAĞLAM ÜRETİM]]/Tablo1[[#This Row],[TOPLAM ÜRETİM]]</f>
        <v>0.99591836734693873</v>
      </c>
      <c r="L50" s="3">
        <f>Tablo1[[#This Row],[KULLANILABİLİRLİK]]*Tablo1[[#This Row],[KALİTE ORANI]]</f>
        <v>0.85445269016697578</v>
      </c>
    </row>
    <row r="51" spans="1:12" x14ac:dyDescent="0.3">
      <c r="A51" s="1">
        <v>46035</v>
      </c>
      <c r="B51" t="s">
        <v>9</v>
      </c>
      <c r="C51" t="s">
        <v>10</v>
      </c>
      <c r="D51">
        <v>529</v>
      </c>
      <c r="E51">
        <v>33</v>
      </c>
      <c r="F51">
        <v>439</v>
      </c>
      <c r="G51">
        <v>6</v>
      </c>
      <c r="H51">
        <f>Tablo1[[#This Row],[PLANLI_SÜRE]]-Tablo1[[#This Row],[DURUŞ_SÜRE]]</f>
        <v>496</v>
      </c>
      <c r="I51">
        <f>Tablo1[[#This Row],[TOPLAM ÜRETİM]]-Tablo1[[#This Row],[HATALI ÜRETİM]]</f>
        <v>433</v>
      </c>
      <c r="J51" s="2">
        <f>Tablo1[[#This Row],[NET SÜRE]]/Tablo1[[#This Row],[PLANLI_SÜRE]]</f>
        <v>0.93761814744801508</v>
      </c>
      <c r="K51" s="2">
        <f>Tablo1[[#This Row],[SAĞLAM ÜRETİM]]/Tablo1[[#This Row],[TOPLAM ÜRETİM]]</f>
        <v>0.98633257403189067</v>
      </c>
      <c r="L51" s="3">
        <f>Tablo1[[#This Row],[KULLANILABİLİRLİK]]*Tablo1[[#This Row],[KALİTE ORANI]]</f>
        <v>0.92480332083141348</v>
      </c>
    </row>
    <row r="52" spans="1:12" x14ac:dyDescent="0.3">
      <c r="A52" s="1">
        <v>46034</v>
      </c>
      <c r="B52" t="s">
        <v>9</v>
      </c>
      <c r="C52" t="s">
        <v>8</v>
      </c>
      <c r="D52">
        <v>530</v>
      </c>
      <c r="E52">
        <v>88</v>
      </c>
      <c r="F52">
        <v>472</v>
      </c>
      <c r="G52">
        <v>4</v>
      </c>
      <c r="H52">
        <f>Tablo1[[#This Row],[PLANLI_SÜRE]]-Tablo1[[#This Row],[DURUŞ_SÜRE]]</f>
        <v>442</v>
      </c>
      <c r="I52">
        <f>Tablo1[[#This Row],[TOPLAM ÜRETİM]]-Tablo1[[#This Row],[HATALI ÜRETİM]]</f>
        <v>468</v>
      </c>
      <c r="J52" s="2">
        <f>Tablo1[[#This Row],[NET SÜRE]]/Tablo1[[#This Row],[PLANLI_SÜRE]]</f>
        <v>0.83396226415094343</v>
      </c>
      <c r="K52" s="2">
        <f>Tablo1[[#This Row],[SAĞLAM ÜRETİM]]/Tablo1[[#This Row],[TOPLAM ÜRETİM]]</f>
        <v>0.99152542372881358</v>
      </c>
      <c r="L52" s="3">
        <f>Tablo1[[#This Row],[KULLANILABİLİRLİK]]*Tablo1[[#This Row],[KALİTE ORANI]]</f>
        <v>0.826894787336105</v>
      </c>
    </row>
    <row r="53" spans="1:12" x14ac:dyDescent="0.3">
      <c r="A53" s="1">
        <v>46053</v>
      </c>
      <c r="B53" t="s">
        <v>7</v>
      </c>
      <c r="C53" t="s">
        <v>10</v>
      </c>
      <c r="D53">
        <v>531</v>
      </c>
      <c r="E53">
        <v>8</v>
      </c>
      <c r="F53">
        <v>359</v>
      </c>
      <c r="G53">
        <v>4</v>
      </c>
      <c r="H53">
        <f>Tablo1[[#This Row],[PLANLI_SÜRE]]-Tablo1[[#This Row],[DURUŞ_SÜRE]]</f>
        <v>523</v>
      </c>
      <c r="I53">
        <f>Tablo1[[#This Row],[TOPLAM ÜRETİM]]-Tablo1[[#This Row],[HATALI ÜRETİM]]</f>
        <v>355</v>
      </c>
      <c r="J53" s="2">
        <f>Tablo1[[#This Row],[NET SÜRE]]/Tablo1[[#This Row],[PLANLI_SÜRE]]</f>
        <v>0.98493408662900184</v>
      </c>
      <c r="K53" s="2">
        <f>Tablo1[[#This Row],[SAĞLAM ÜRETİM]]/Tablo1[[#This Row],[TOPLAM ÜRETİM]]</f>
        <v>0.9888579387186629</v>
      </c>
      <c r="L53" s="3">
        <f>Tablo1[[#This Row],[KULLANILABİLİRLİK]]*Tablo1[[#This Row],[KALİTE ORANI]]</f>
        <v>0.97395989067770372</v>
      </c>
    </row>
    <row r="54" spans="1:12" x14ac:dyDescent="0.3">
      <c r="A54" s="1">
        <v>46041</v>
      </c>
      <c r="B54" t="s">
        <v>7</v>
      </c>
      <c r="C54" t="s">
        <v>8</v>
      </c>
      <c r="D54">
        <v>532</v>
      </c>
      <c r="E54">
        <v>10</v>
      </c>
      <c r="F54">
        <v>312</v>
      </c>
      <c r="G54">
        <v>15</v>
      </c>
      <c r="H54">
        <f>Tablo1[[#This Row],[PLANLI_SÜRE]]-Tablo1[[#This Row],[DURUŞ_SÜRE]]</f>
        <v>522</v>
      </c>
      <c r="I54">
        <f>Tablo1[[#This Row],[TOPLAM ÜRETİM]]-Tablo1[[#This Row],[HATALI ÜRETİM]]</f>
        <v>297</v>
      </c>
      <c r="J54" s="2">
        <f>Tablo1[[#This Row],[NET SÜRE]]/Tablo1[[#This Row],[PLANLI_SÜRE]]</f>
        <v>0.98120300751879697</v>
      </c>
      <c r="K54" s="2">
        <f>Tablo1[[#This Row],[SAĞLAM ÜRETİM]]/Tablo1[[#This Row],[TOPLAM ÜRETİM]]</f>
        <v>0.95192307692307687</v>
      </c>
      <c r="L54" s="3">
        <f>Tablo1[[#This Row],[KULLANILABİLİRLİK]]*Tablo1[[#This Row],[KALİTE ORANI]]</f>
        <v>0.93402978600347009</v>
      </c>
    </row>
    <row r="55" spans="1:12" x14ac:dyDescent="0.3">
      <c r="A55" s="1">
        <v>46033</v>
      </c>
      <c r="B55" t="s">
        <v>7</v>
      </c>
      <c r="C55" t="s">
        <v>10</v>
      </c>
      <c r="D55">
        <v>533</v>
      </c>
      <c r="E55">
        <v>57</v>
      </c>
      <c r="F55">
        <v>368</v>
      </c>
      <c r="G55">
        <v>3</v>
      </c>
      <c r="H55">
        <f>Tablo1[[#This Row],[PLANLI_SÜRE]]-Tablo1[[#This Row],[DURUŞ_SÜRE]]</f>
        <v>476</v>
      </c>
      <c r="I55">
        <f>Tablo1[[#This Row],[TOPLAM ÜRETİM]]-Tablo1[[#This Row],[HATALI ÜRETİM]]</f>
        <v>365</v>
      </c>
      <c r="J55" s="2">
        <f>Tablo1[[#This Row],[NET SÜRE]]/Tablo1[[#This Row],[PLANLI_SÜRE]]</f>
        <v>0.89305816135084426</v>
      </c>
      <c r="K55" s="2">
        <f>Tablo1[[#This Row],[SAĞLAM ÜRETİM]]/Tablo1[[#This Row],[TOPLAM ÜRETİM]]</f>
        <v>0.99184782608695654</v>
      </c>
      <c r="L55" s="3">
        <f>Tablo1[[#This Row],[KULLANILABİLİRLİK]]*Tablo1[[#This Row],[KALİTE ORANI]]</f>
        <v>0.88577779590504935</v>
      </c>
    </row>
    <row r="56" spans="1:12" x14ac:dyDescent="0.3">
      <c r="A56" s="1">
        <v>46044</v>
      </c>
      <c r="B56" t="s">
        <v>7</v>
      </c>
      <c r="C56" t="s">
        <v>8</v>
      </c>
      <c r="D56">
        <v>534</v>
      </c>
      <c r="E56">
        <v>89</v>
      </c>
      <c r="F56">
        <v>352</v>
      </c>
      <c r="G56">
        <v>6</v>
      </c>
      <c r="H56">
        <f>Tablo1[[#This Row],[PLANLI_SÜRE]]-Tablo1[[#This Row],[DURUŞ_SÜRE]]</f>
        <v>445</v>
      </c>
      <c r="I56">
        <f>Tablo1[[#This Row],[TOPLAM ÜRETİM]]-Tablo1[[#This Row],[HATALI ÜRETİM]]</f>
        <v>346</v>
      </c>
      <c r="J56" s="2">
        <f>Tablo1[[#This Row],[NET SÜRE]]/Tablo1[[#This Row],[PLANLI_SÜRE]]</f>
        <v>0.83333333333333337</v>
      </c>
      <c r="K56" s="2">
        <f>Tablo1[[#This Row],[SAĞLAM ÜRETİM]]/Tablo1[[#This Row],[TOPLAM ÜRETİM]]</f>
        <v>0.98295454545454541</v>
      </c>
      <c r="L56" s="3">
        <f>Tablo1[[#This Row],[KULLANILABİLİRLİK]]*Tablo1[[#This Row],[KALİTE ORANI]]</f>
        <v>0.81912878787878785</v>
      </c>
    </row>
    <row r="57" spans="1:12" x14ac:dyDescent="0.3">
      <c r="A57" s="1">
        <v>46033</v>
      </c>
      <c r="B57" t="s">
        <v>11</v>
      </c>
      <c r="C57" t="s">
        <v>10</v>
      </c>
      <c r="D57">
        <v>535</v>
      </c>
      <c r="E57">
        <v>19</v>
      </c>
      <c r="F57">
        <v>423</v>
      </c>
      <c r="G57">
        <v>13</v>
      </c>
      <c r="H57">
        <f>Tablo1[[#This Row],[PLANLI_SÜRE]]-Tablo1[[#This Row],[DURUŞ_SÜRE]]</f>
        <v>516</v>
      </c>
      <c r="I57">
        <f>Tablo1[[#This Row],[TOPLAM ÜRETİM]]-Tablo1[[#This Row],[HATALI ÜRETİM]]</f>
        <v>410</v>
      </c>
      <c r="J57" s="2">
        <f>Tablo1[[#This Row],[NET SÜRE]]/Tablo1[[#This Row],[PLANLI_SÜRE]]</f>
        <v>0.96448598130841123</v>
      </c>
      <c r="K57" s="2">
        <f>Tablo1[[#This Row],[SAĞLAM ÜRETİM]]/Tablo1[[#This Row],[TOPLAM ÜRETİM]]</f>
        <v>0.96926713947990539</v>
      </c>
      <c r="L57" s="3">
        <f>Tablo1[[#This Row],[KULLANILABİLİRLİK]]*Tablo1[[#This Row],[KALİTE ORANI]]</f>
        <v>0.93484456817127326</v>
      </c>
    </row>
    <row r="58" spans="1:12" x14ac:dyDescent="0.3">
      <c r="A58" s="1">
        <v>46035</v>
      </c>
      <c r="B58" t="s">
        <v>9</v>
      </c>
      <c r="C58" t="s">
        <v>10</v>
      </c>
      <c r="D58">
        <v>536</v>
      </c>
      <c r="E58">
        <v>44</v>
      </c>
      <c r="F58">
        <v>436</v>
      </c>
      <c r="G58">
        <v>11</v>
      </c>
      <c r="H58">
        <f>Tablo1[[#This Row],[PLANLI_SÜRE]]-Tablo1[[#This Row],[DURUŞ_SÜRE]]</f>
        <v>492</v>
      </c>
      <c r="I58">
        <f>Tablo1[[#This Row],[TOPLAM ÜRETİM]]-Tablo1[[#This Row],[HATALI ÜRETİM]]</f>
        <v>425</v>
      </c>
      <c r="J58" s="2">
        <f>Tablo1[[#This Row],[NET SÜRE]]/Tablo1[[#This Row],[PLANLI_SÜRE]]</f>
        <v>0.91791044776119401</v>
      </c>
      <c r="K58" s="2">
        <f>Tablo1[[#This Row],[SAĞLAM ÜRETİM]]/Tablo1[[#This Row],[TOPLAM ÜRETİM]]</f>
        <v>0.97477064220183485</v>
      </c>
      <c r="L58" s="3">
        <f>Tablo1[[#This Row],[KULLANILABİLİRLİK]]*Tablo1[[#This Row],[KALİTE ORANI]]</f>
        <v>0.89475215664795282</v>
      </c>
    </row>
    <row r="59" spans="1:12" x14ac:dyDescent="0.3">
      <c r="A59" s="1">
        <v>46037</v>
      </c>
      <c r="B59" t="s">
        <v>9</v>
      </c>
      <c r="C59" t="s">
        <v>8</v>
      </c>
      <c r="D59">
        <v>537</v>
      </c>
      <c r="E59">
        <v>67</v>
      </c>
      <c r="F59">
        <v>440</v>
      </c>
      <c r="G59">
        <v>8</v>
      </c>
      <c r="H59">
        <f>Tablo1[[#This Row],[PLANLI_SÜRE]]-Tablo1[[#This Row],[DURUŞ_SÜRE]]</f>
        <v>470</v>
      </c>
      <c r="I59">
        <f>Tablo1[[#This Row],[TOPLAM ÜRETİM]]-Tablo1[[#This Row],[HATALI ÜRETİM]]</f>
        <v>432</v>
      </c>
      <c r="J59" s="2">
        <f>Tablo1[[#This Row],[NET SÜRE]]/Tablo1[[#This Row],[PLANLI_SÜRE]]</f>
        <v>0.87523277467411542</v>
      </c>
      <c r="K59" s="2">
        <f>Tablo1[[#This Row],[SAĞLAM ÜRETİM]]/Tablo1[[#This Row],[TOPLAM ÜRETİM]]</f>
        <v>0.98181818181818181</v>
      </c>
      <c r="L59" s="3">
        <f>Tablo1[[#This Row],[KULLANILABİLİRLİK]]*Tablo1[[#This Row],[KALİTE ORANI]]</f>
        <v>0.85931945149822242</v>
      </c>
    </row>
    <row r="60" spans="1:12" x14ac:dyDescent="0.3">
      <c r="A60" s="1">
        <v>46040</v>
      </c>
      <c r="B60" t="s">
        <v>11</v>
      </c>
      <c r="C60" t="s">
        <v>10</v>
      </c>
      <c r="D60">
        <v>538</v>
      </c>
      <c r="E60">
        <v>26</v>
      </c>
      <c r="F60">
        <v>305</v>
      </c>
      <c r="G60">
        <v>9</v>
      </c>
      <c r="H60">
        <f>Tablo1[[#This Row],[PLANLI_SÜRE]]-Tablo1[[#This Row],[DURUŞ_SÜRE]]</f>
        <v>512</v>
      </c>
      <c r="I60">
        <f>Tablo1[[#This Row],[TOPLAM ÜRETİM]]-Tablo1[[#This Row],[HATALI ÜRETİM]]</f>
        <v>296</v>
      </c>
      <c r="J60" s="2">
        <f>Tablo1[[#This Row],[NET SÜRE]]/Tablo1[[#This Row],[PLANLI_SÜRE]]</f>
        <v>0.95167286245353155</v>
      </c>
      <c r="K60" s="2">
        <f>Tablo1[[#This Row],[SAĞLAM ÜRETİM]]/Tablo1[[#This Row],[TOPLAM ÜRETİM]]</f>
        <v>0.97049180327868856</v>
      </c>
      <c r="L60" s="3">
        <f>Tablo1[[#This Row],[KULLANILABİLİRLİK]]*Tablo1[[#This Row],[KALİTE ORANI]]</f>
        <v>0.92359071241391921</v>
      </c>
    </row>
    <row r="61" spans="1:12" x14ac:dyDescent="0.3">
      <c r="A61" s="1">
        <v>46027</v>
      </c>
      <c r="B61" t="s">
        <v>7</v>
      </c>
      <c r="C61" t="s">
        <v>10</v>
      </c>
      <c r="D61">
        <v>539</v>
      </c>
      <c r="E61">
        <v>42</v>
      </c>
      <c r="F61">
        <v>302</v>
      </c>
      <c r="G61">
        <v>12</v>
      </c>
      <c r="H61">
        <f>Tablo1[[#This Row],[PLANLI_SÜRE]]-Tablo1[[#This Row],[DURUŞ_SÜRE]]</f>
        <v>497</v>
      </c>
      <c r="I61">
        <f>Tablo1[[#This Row],[TOPLAM ÜRETİM]]-Tablo1[[#This Row],[HATALI ÜRETİM]]</f>
        <v>290</v>
      </c>
      <c r="J61" s="2">
        <f>Tablo1[[#This Row],[NET SÜRE]]/Tablo1[[#This Row],[PLANLI_SÜRE]]</f>
        <v>0.92207792207792205</v>
      </c>
      <c r="K61" s="2">
        <f>Tablo1[[#This Row],[SAĞLAM ÜRETİM]]/Tablo1[[#This Row],[TOPLAM ÜRETİM]]</f>
        <v>0.96026490066225167</v>
      </c>
      <c r="L61" s="3">
        <f>Tablo1[[#This Row],[KULLANILABİLİRLİK]]*Tablo1[[#This Row],[KALİTE ORANI]]</f>
        <v>0.88543906424701124</v>
      </c>
    </row>
    <row r="62" spans="1:12" x14ac:dyDescent="0.3">
      <c r="A62" s="1">
        <v>46041</v>
      </c>
      <c r="B62" t="s">
        <v>7</v>
      </c>
      <c r="C62" t="s">
        <v>8</v>
      </c>
      <c r="D62">
        <v>540</v>
      </c>
      <c r="E62">
        <v>24</v>
      </c>
      <c r="F62">
        <v>486</v>
      </c>
      <c r="G62">
        <v>1</v>
      </c>
      <c r="H62">
        <f>Tablo1[[#This Row],[PLANLI_SÜRE]]-Tablo1[[#This Row],[DURUŞ_SÜRE]]</f>
        <v>516</v>
      </c>
      <c r="I62">
        <f>Tablo1[[#This Row],[TOPLAM ÜRETİM]]-Tablo1[[#This Row],[HATALI ÜRETİM]]</f>
        <v>485</v>
      </c>
      <c r="J62" s="2">
        <f>Tablo1[[#This Row],[NET SÜRE]]/Tablo1[[#This Row],[PLANLI_SÜRE]]</f>
        <v>0.9555555555555556</v>
      </c>
      <c r="K62" s="2">
        <f>Tablo1[[#This Row],[SAĞLAM ÜRETİM]]/Tablo1[[#This Row],[TOPLAM ÜRETİM]]</f>
        <v>0.99794238683127567</v>
      </c>
      <c r="L62" s="3">
        <f>Tablo1[[#This Row],[KULLANILABİLİRLİK]]*Tablo1[[#This Row],[KALİTE ORANI]]</f>
        <v>0.95358939186099678</v>
      </c>
    </row>
    <row r="63" spans="1:12" x14ac:dyDescent="0.3">
      <c r="A63" s="1">
        <v>46036</v>
      </c>
      <c r="B63" t="s">
        <v>11</v>
      </c>
      <c r="C63" t="s">
        <v>10</v>
      </c>
      <c r="D63">
        <v>541</v>
      </c>
      <c r="E63">
        <v>17</v>
      </c>
      <c r="F63">
        <v>493</v>
      </c>
      <c r="G63">
        <v>3</v>
      </c>
      <c r="H63">
        <f>Tablo1[[#This Row],[PLANLI_SÜRE]]-Tablo1[[#This Row],[DURUŞ_SÜRE]]</f>
        <v>524</v>
      </c>
      <c r="I63">
        <f>Tablo1[[#This Row],[TOPLAM ÜRETİM]]-Tablo1[[#This Row],[HATALI ÜRETİM]]</f>
        <v>490</v>
      </c>
      <c r="J63" s="2">
        <f>Tablo1[[#This Row],[NET SÜRE]]/Tablo1[[#This Row],[PLANLI_SÜRE]]</f>
        <v>0.96857670979667287</v>
      </c>
      <c r="K63" s="2">
        <f>Tablo1[[#This Row],[SAĞLAM ÜRETİM]]/Tablo1[[#This Row],[TOPLAM ÜRETİM]]</f>
        <v>0.99391480730223125</v>
      </c>
      <c r="L63" s="3">
        <f>Tablo1[[#This Row],[KULLANILABİLİRLİK]]*Tablo1[[#This Row],[KALİTE ORANI]]</f>
        <v>0.96268273387498926</v>
      </c>
    </row>
    <row r="64" spans="1:12" x14ac:dyDescent="0.3">
      <c r="A64" s="1">
        <v>46030</v>
      </c>
      <c r="B64" t="s">
        <v>11</v>
      </c>
      <c r="C64" t="s">
        <v>8</v>
      </c>
      <c r="D64">
        <v>542</v>
      </c>
      <c r="E64">
        <v>65</v>
      </c>
      <c r="F64">
        <v>315</v>
      </c>
      <c r="G64">
        <v>15</v>
      </c>
      <c r="H64">
        <f>Tablo1[[#This Row],[PLANLI_SÜRE]]-Tablo1[[#This Row],[DURUŞ_SÜRE]]</f>
        <v>477</v>
      </c>
      <c r="I64">
        <f>Tablo1[[#This Row],[TOPLAM ÜRETİM]]-Tablo1[[#This Row],[HATALI ÜRETİM]]</f>
        <v>300</v>
      </c>
      <c r="J64" s="2">
        <f>Tablo1[[#This Row],[NET SÜRE]]/Tablo1[[#This Row],[PLANLI_SÜRE]]</f>
        <v>0.88007380073800734</v>
      </c>
      <c r="K64" s="2">
        <f>Tablo1[[#This Row],[SAĞLAM ÜRETİM]]/Tablo1[[#This Row],[TOPLAM ÜRETİM]]</f>
        <v>0.95238095238095233</v>
      </c>
      <c r="L64" s="3">
        <f>Tablo1[[#This Row],[KULLANILABİLİRLİK]]*Tablo1[[#This Row],[KALİTE ORANI]]</f>
        <v>0.8381655245123879</v>
      </c>
    </row>
    <row r="65" spans="1:12" x14ac:dyDescent="0.3">
      <c r="A65" s="1">
        <v>46049</v>
      </c>
      <c r="B65" t="s">
        <v>7</v>
      </c>
      <c r="C65" t="s">
        <v>10</v>
      </c>
      <c r="D65">
        <v>543</v>
      </c>
      <c r="E65">
        <v>61</v>
      </c>
      <c r="F65">
        <v>401</v>
      </c>
      <c r="G65">
        <v>8</v>
      </c>
      <c r="H65">
        <f>Tablo1[[#This Row],[PLANLI_SÜRE]]-Tablo1[[#This Row],[DURUŞ_SÜRE]]</f>
        <v>482</v>
      </c>
      <c r="I65">
        <f>Tablo1[[#This Row],[TOPLAM ÜRETİM]]-Tablo1[[#This Row],[HATALI ÜRETİM]]</f>
        <v>393</v>
      </c>
      <c r="J65" s="2">
        <f>Tablo1[[#This Row],[NET SÜRE]]/Tablo1[[#This Row],[PLANLI_SÜRE]]</f>
        <v>0.88766114180478817</v>
      </c>
      <c r="K65" s="2">
        <f>Tablo1[[#This Row],[SAĞLAM ÜRETİM]]/Tablo1[[#This Row],[TOPLAM ÜRETİM]]</f>
        <v>0.98004987531172072</v>
      </c>
      <c r="L65" s="3">
        <f>Tablo1[[#This Row],[KULLANILABİLİRLİK]]*Tablo1[[#This Row],[KALİTE ORANI]]</f>
        <v>0.86995219134484225</v>
      </c>
    </row>
    <row r="66" spans="1:12" x14ac:dyDescent="0.3">
      <c r="A66" s="1">
        <v>46029</v>
      </c>
      <c r="B66" t="s">
        <v>7</v>
      </c>
      <c r="C66" t="s">
        <v>8</v>
      </c>
      <c r="D66">
        <v>544</v>
      </c>
      <c r="E66">
        <v>43</v>
      </c>
      <c r="F66">
        <v>329</v>
      </c>
      <c r="G66">
        <v>11</v>
      </c>
      <c r="H66">
        <f>Tablo1[[#This Row],[PLANLI_SÜRE]]-Tablo1[[#This Row],[DURUŞ_SÜRE]]</f>
        <v>501</v>
      </c>
      <c r="I66">
        <f>Tablo1[[#This Row],[TOPLAM ÜRETİM]]-Tablo1[[#This Row],[HATALI ÜRETİM]]</f>
        <v>318</v>
      </c>
      <c r="J66" s="2">
        <f>Tablo1[[#This Row],[NET SÜRE]]/Tablo1[[#This Row],[PLANLI_SÜRE]]</f>
        <v>0.92095588235294112</v>
      </c>
      <c r="K66" s="2">
        <f>Tablo1[[#This Row],[SAĞLAM ÜRETİM]]/Tablo1[[#This Row],[TOPLAM ÜRETİM]]</f>
        <v>0.96656534954407292</v>
      </c>
      <c r="L66" s="3">
        <f>Tablo1[[#This Row],[KULLANILABİLİRLİK]]*Tablo1[[#This Row],[KALİTE ORANI]]</f>
        <v>0.8901640443411406</v>
      </c>
    </row>
    <row r="67" spans="1:12" x14ac:dyDescent="0.3">
      <c r="A67" s="1">
        <v>46037</v>
      </c>
      <c r="B67" t="s">
        <v>11</v>
      </c>
      <c r="C67" t="s">
        <v>10</v>
      </c>
      <c r="D67">
        <v>545</v>
      </c>
      <c r="E67">
        <v>55</v>
      </c>
      <c r="F67">
        <v>475</v>
      </c>
      <c r="G67">
        <v>15</v>
      </c>
      <c r="H67">
        <f>Tablo1[[#This Row],[PLANLI_SÜRE]]-Tablo1[[#This Row],[DURUŞ_SÜRE]]</f>
        <v>490</v>
      </c>
      <c r="I67">
        <f>Tablo1[[#This Row],[TOPLAM ÜRETİM]]-Tablo1[[#This Row],[HATALI ÜRETİM]]</f>
        <v>460</v>
      </c>
      <c r="J67" s="2">
        <f>Tablo1[[#This Row],[NET SÜRE]]/Tablo1[[#This Row],[PLANLI_SÜRE]]</f>
        <v>0.8990825688073395</v>
      </c>
      <c r="K67" s="2">
        <f>Tablo1[[#This Row],[SAĞLAM ÜRETİM]]/Tablo1[[#This Row],[TOPLAM ÜRETİM]]</f>
        <v>0.96842105263157896</v>
      </c>
      <c r="L67" s="3">
        <f>Tablo1[[#This Row],[KULLANILABİLİRLİK]]*Tablo1[[#This Row],[KALİTE ORANI]]</f>
        <v>0.87069048768710777</v>
      </c>
    </row>
    <row r="68" spans="1:12" x14ac:dyDescent="0.3">
      <c r="A68" s="1">
        <v>46034</v>
      </c>
      <c r="B68" t="s">
        <v>7</v>
      </c>
      <c r="C68" t="s">
        <v>8</v>
      </c>
      <c r="D68">
        <v>546</v>
      </c>
      <c r="E68">
        <v>63</v>
      </c>
      <c r="F68">
        <v>471</v>
      </c>
      <c r="G68">
        <v>11</v>
      </c>
      <c r="H68">
        <f>Tablo1[[#This Row],[PLANLI_SÜRE]]-Tablo1[[#This Row],[DURUŞ_SÜRE]]</f>
        <v>483</v>
      </c>
      <c r="I68">
        <f>Tablo1[[#This Row],[TOPLAM ÜRETİM]]-Tablo1[[#This Row],[HATALI ÜRETİM]]</f>
        <v>460</v>
      </c>
      <c r="J68" s="2">
        <f>Tablo1[[#This Row],[NET SÜRE]]/Tablo1[[#This Row],[PLANLI_SÜRE]]</f>
        <v>0.88461538461538458</v>
      </c>
      <c r="K68" s="2">
        <f>Tablo1[[#This Row],[SAĞLAM ÜRETİM]]/Tablo1[[#This Row],[TOPLAM ÜRETİM]]</f>
        <v>0.97664543524416136</v>
      </c>
      <c r="L68" s="3">
        <f>Tablo1[[#This Row],[KULLANILABİLİRLİK]]*Tablo1[[#This Row],[KALİTE ORANI]]</f>
        <v>0.86395557733137351</v>
      </c>
    </row>
    <row r="69" spans="1:12" x14ac:dyDescent="0.3">
      <c r="A69" s="1">
        <v>46042</v>
      </c>
      <c r="B69" t="s">
        <v>11</v>
      </c>
      <c r="C69" t="s">
        <v>8</v>
      </c>
      <c r="D69">
        <v>547</v>
      </c>
      <c r="E69">
        <v>80</v>
      </c>
      <c r="F69">
        <v>488</v>
      </c>
      <c r="G69">
        <v>0</v>
      </c>
      <c r="H69">
        <f>Tablo1[[#This Row],[PLANLI_SÜRE]]-Tablo1[[#This Row],[DURUŞ_SÜRE]]</f>
        <v>467</v>
      </c>
      <c r="I69">
        <f>Tablo1[[#This Row],[TOPLAM ÜRETİM]]-Tablo1[[#This Row],[HATALI ÜRETİM]]</f>
        <v>488</v>
      </c>
      <c r="J69" s="2">
        <f>Tablo1[[#This Row],[NET SÜRE]]/Tablo1[[#This Row],[PLANLI_SÜRE]]</f>
        <v>0.8537477148080439</v>
      </c>
      <c r="K69" s="2">
        <f>Tablo1[[#This Row],[SAĞLAM ÜRETİM]]/Tablo1[[#This Row],[TOPLAM ÜRETİM]]</f>
        <v>1</v>
      </c>
      <c r="L69" s="3">
        <f>Tablo1[[#This Row],[KULLANILABİLİRLİK]]*Tablo1[[#This Row],[KALİTE ORANI]]</f>
        <v>0.8537477148080439</v>
      </c>
    </row>
    <row r="70" spans="1:12" x14ac:dyDescent="0.3">
      <c r="A70" s="1">
        <v>46034</v>
      </c>
      <c r="B70" t="s">
        <v>7</v>
      </c>
      <c r="C70" t="s">
        <v>10</v>
      </c>
      <c r="D70">
        <v>548</v>
      </c>
      <c r="E70">
        <v>16</v>
      </c>
      <c r="F70">
        <v>495</v>
      </c>
      <c r="G70">
        <v>0</v>
      </c>
      <c r="H70">
        <f>Tablo1[[#This Row],[PLANLI_SÜRE]]-Tablo1[[#This Row],[DURUŞ_SÜRE]]</f>
        <v>532</v>
      </c>
      <c r="I70">
        <f>Tablo1[[#This Row],[TOPLAM ÜRETİM]]-Tablo1[[#This Row],[HATALI ÜRETİM]]</f>
        <v>495</v>
      </c>
      <c r="J70" s="2">
        <f>Tablo1[[#This Row],[NET SÜRE]]/Tablo1[[#This Row],[PLANLI_SÜRE]]</f>
        <v>0.97080291970802923</v>
      </c>
      <c r="K70" s="2">
        <f>Tablo1[[#This Row],[SAĞLAM ÜRETİM]]/Tablo1[[#This Row],[TOPLAM ÜRETİM]]</f>
        <v>1</v>
      </c>
      <c r="L70" s="3">
        <f>Tablo1[[#This Row],[KULLANILABİLİRLİK]]*Tablo1[[#This Row],[KALİTE ORANI]]</f>
        <v>0.97080291970802923</v>
      </c>
    </row>
    <row r="71" spans="1:12" x14ac:dyDescent="0.3">
      <c r="A71" s="1">
        <v>46034</v>
      </c>
      <c r="B71" t="s">
        <v>7</v>
      </c>
      <c r="C71" t="s">
        <v>10</v>
      </c>
      <c r="D71">
        <v>549</v>
      </c>
      <c r="E71">
        <v>5</v>
      </c>
      <c r="F71">
        <v>347</v>
      </c>
      <c r="G71">
        <v>10</v>
      </c>
      <c r="H71">
        <f>Tablo1[[#This Row],[PLANLI_SÜRE]]-Tablo1[[#This Row],[DURUŞ_SÜRE]]</f>
        <v>544</v>
      </c>
      <c r="I71">
        <f>Tablo1[[#This Row],[TOPLAM ÜRETİM]]-Tablo1[[#This Row],[HATALI ÜRETİM]]</f>
        <v>337</v>
      </c>
      <c r="J71" s="2">
        <f>Tablo1[[#This Row],[NET SÜRE]]/Tablo1[[#This Row],[PLANLI_SÜRE]]</f>
        <v>0.99089253187613846</v>
      </c>
      <c r="K71" s="2">
        <f>Tablo1[[#This Row],[SAĞLAM ÜRETİM]]/Tablo1[[#This Row],[TOPLAM ÜRETİM]]</f>
        <v>0.97118155619596547</v>
      </c>
      <c r="L71" s="3">
        <f>Tablo1[[#This Row],[KULLANILABİLİRLİK]]*Tablo1[[#This Row],[KALİTE ORANI]]</f>
        <v>0.96233655113042849</v>
      </c>
    </row>
    <row r="72" spans="1:12" x14ac:dyDescent="0.3">
      <c r="A72" s="1">
        <v>46047</v>
      </c>
      <c r="B72" t="s">
        <v>11</v>
      </c>
      <c r="C72" t="s">
        <v>8</v>
      </c>
      <c r="D72">
        <v>550</v>
      </c>
      <c r="E72">
        <v>26</v>
      </c>
      <c r="F72">
        <v>304</v>
      </c>
      <c r="G72">
        <v>6</v>
      </c>
      <c r="H72">
        <f>Tablo1[[#This Row],[PLANLI_SÜRE]]-Tablo1[[#This Row],[DURUŞ_SÜRE]]</f>
        <v>524</v>
      </c>
      <c r="I72">
        <f>Tablo1[[#This Row],[TOPLAM ÜRETİM]]-Tablo1[[#This Row],[HATALI ÜRETİM]]</f>
        <v>298</v>
      </c>
      <c r="J72" s="2">
        <f>Tablo1[[#This Row],[NET SÜRE]]/Tablo1[[#This Row],[PLANLI_SÜRE]]</f>
        <v>0.95272727272727276</v>
      </c>
      <c r="K72" s="2">
        <f>Tablo1[[#This Row],[SAĞLAM ÜRETİM]]/Tablo1[[#This Row],[TOPLAM ÜRETİM]]</f>
        <v>0.98026315789473684</v>
      </c>
      <c r="L72" s="3">
        <f>Tablo1[[#This Row],[KULLANILABİLİRLİK]]*Tablo1[[#This Row],[KALİTE ORANI]]</f>
        <v>0.9339234449760766</v>
      </c>
    </row>
    <row r="73" spans="1:12" x14ac:dyDescent="0.3">
      <c r="A73" s="1">
        <v>46051</v>
      </c>
      <c r="B73" t="s">
        <v>9</v>
      </c>
      <c r="C73" t="s">
        <v>10</v>
      </c>
      <c r="D73">
        <v>551</v>
      </c>
      <c r="E73">
        <v>88</v>
      </c>
      <c r="F73">
        <v>471</v>
      </c>
      <c r="G73">
        <v>3</v>
      </c>
      <c r="H73">
        <f>Tablo1[[#This Row],[PLANLI_SÜRE]]-Tablo1[[#This Row],[DURUŞ_SÜRE]]</f>
        <v>463</v>
      </c>
      <c r="I73">
        <f>Tablo1[[#This Row],[TOPLAM ÜRETİM]]-Tablo1[[#This Row],[HATALI ÜRETİM]]</f>
        <v>468</v>
      </c>
      <c r="J73" s="2">
        <f>Tablo1[[#This Row],[NET SÜRE]]/Tablo1[[#This Row],[PLANLI_SÜRE]]</f>
        <v>0.84029038112522692</v>
      </c>
      <c r="K73" s="2">
        <f>Tablo1[[#This Row],[SAĞLAM ÜRETİM]]/Tablo1[[#This Row],[TOPLAM ÜRETİM]]</f>
        <v>0.99363057324840764</v>
      </c>
      <c r="L73" s="3">
        <f>Tablo1[[#This Row],[KULLANILABİLİRLİK]]*Tablo1[[#This Row],[KALİTE ORANI]]</f>
        <v>0.8349382130925822</v>
      </c>
    </row>
    <row r="74" spans="1:12" x14ac:dyDescent="0.3">
      <c r="A74" s="1">
        <v>46049</v>
      </c>
      <c r="B74" t="s">
        <v>9</v>
      </c>
      <c r="C74" t="s">
        <v>8</v>
      </c>
      <c r="D74">
        <v>552</v>
      </c>
      <c r="E74">
        <v>9</v>
      </c>
      <c r="F74">
        <v>492</v>
      </c>
      <c r="G74">
        <v>9</v>
      </c>
      <c r="H74">
        <f>Tablo1[[#This Row],[PLANLI_SÜRE]]-Tablo1[[#This Row],[DURUŞ_SÜRE]]</f>
        <v>543</v>
      </c>
      <c r="I74">
        <f>Tablo1[[#This Row],[TOPLAM ÜRETİM]]-Tablo1[[#This Row],[HATALI ÜRETİM]]</f>
        <v>483</v>
      </c>
      <c r="J74" s="2">
        <f>Tablo1[[#This Row],[NET SÜRE]]/Tablo1[[#This Row],[PLANLI_SÜRE]]</f>
        <v>0.98369565217391308</v>
      </c>
      <c r="K74" s="2">
        <f>Tablo1[[#This Row],[SAĞLAM ÜRETİM]]/Tablo1[[#This Row],[TOPLAM ÜRETİM]]</f>
        <v>0.98170731707317072</v>
      </c>
      <c r="L74" s="3">
        <f>Tablo1[[#This Row],[KULLANILABİLİRLİK]]*Tablo1[[#This Row],[KALİTE ORANI]]</f>
        <v>0.96570121951219512</v>
      </c>
    </row>
    <row r="75" spans="1:12" x14ac:dyDescent="0.3">
      <c r="A75" s="1">
        <v>46047</v>
      </c>
      <c r="B75" t="s">
        <v>7</v>
      </c>
      <c r="C75" t="s">
        <v>10</v>
      </c>
      <c r="D75">
        <v>553</v>
      </c>
      <c r="E75">
        <v>38</v>
      </c>
      <c r="F75">
        <v>388</v>
      </c>
      <c r="G75">
        <v>2</v>
      </c>
      <c r="H75">
        <f>Tablo1[[#This Row],[PLANLI_SÜRE]]-Tablo1[[#This Row],[DURUŞ_SÜRE]]</f>
        <v>515</v>
      </c>
      <c r="I75">
        <f>Tablo1[[#This Row],[TOPLAM ÜRETİM]]-Tablo1[[#This Row],[HATALI ÜRETİM]]</f>
        <v>386</v>
      </c>
      <c r="J75" s="2">
        <f>Tablo1[[#This Row],[NET SÜRE]]/Tablo1[[#This Row],[PLANLI_SÜRE]]</f>
        <v>0.93128390596745025</v>
      </c>
      <c r="K75" s="2">
        <f>Tablo1[[#This Row],[SAĞLAM ÜRETİM]]/Tablo1[[#This Row],[TOPLAM ÜRETİM]]</f>
        <v>0.99484536082474229</v>
      </c>
      <c r="L75" s="3">
        <f>Tablo1[[#This Row],[KULLANILABİLİRLİK]]*Tablo1[[#This Row],[KALİTE ORANI]]</f>
        <v>0.9264834734624634</v>
      </c>
    </row>
    <row r="76" spans="1:12" x14ac:dyDescent="0.3">
      <c r="A76" s="1">
        <v>46025</v>
      </c>
      <c r="B76" t="s">
        <v>9</v>
      </c>
      <c r="C76" t="s">
        <v>10</v>
      </c>
      <c r="D76">
        <v>554</v>
      </c>
      <c r="E76">
        <v>4</v>
      </c>
      <c r="F76">
        <v>499</v>
      </c>
      <c r="G76">
        <v>10</v>
      </c>
      <c r="H76">
        <f>Tablo1[[#This Row],[PLANLI_SÜRE]]-Tablo1[[#This Row],[DURUŞ_SÜRE]]</f>
        <v>550</v>
      </c>
      <c r="I76">
        <f>Tablo1[[#This Row],[TOPLAM ÜRETİM]]-Tablo1[[#This Row],[HATALI ÜRETİM]]</f>
        <v>489</v>
      </c>
      <c r="J76" s="2">
        <f>Tablo1[[#This Row],[NET SÜRE]]/Tablo1[[#This Row],[PLANLI_SÜRE]]</f>
        <v>0.99277978339350181</v>
      </c>
      <c r="K76" s="2">
        <f>Tablo1[[#This Row],[SAĞLAM ÜRETİM]]/Tablo1[[#This Row],[TOPLAM ÜRETİM]]</f>
        <v>0.97995991983967934</v>
      </c>
      <c r="L76" s="3">
        <f>Tablo1[[#This Row],[KULLANILABİLİRLİK]]*Tablo1[[#This Row],[KALİTE ORANI]]</f>
        <v>0.97288439695275031</v>
      </c>
    </row>
    <row r="77" spans="1:12" x14ac:dyDescent="0.3">
      <c r="A77" s="1">
        <v>46027</v>
      </c>
      <c r="B77" t="s">
        <v>11</v>
      </c>
      <c r="C77" t="s">
        <v>10</v>
      </c>
      <c r="D77">
        <v>555</v>
      </c>
      <c r="E77">
        <v>89</v>
      </c>
      <c r="F77">
        <v>344</v>
      </c>
      <c r="G77">
        <v>3</v>
      </c>
      <c r="H77">
        <f>Tablo1[[#This Row],[PLANLI_SÜRE]]-Tablo1[[#This Row],[DURUŞ_SÜRE]]</f>
        <v>466</v>
      </c>
      <c r="I77">
        <f>Tablo1[[#This Row],[TOPLAM ÜRETİM]]-Tablo1[[#This Row],[HATALI ÜRETİM]]</f>
        <v>341</v>
      </c>
      <c r="J77" s="2">
        <f>Tablo1[[#This Row],[NET SÜRE]]/Tablo1[[#This Row],[PLANLI_SÜRE]]</f>
        <v>0.83963963963963961</v>
      </c>
      <c r="K77" s="2">
        <f>Tablo1[[#This Row],[SAĞLAM ÜRETİM]]/Tablo1[[#This Row],[TOPLAM ÜRETİM]]</f>
        <v>0.99127906976744184</v>
      </c>
      <c r="L77" s="3">
        <f>Tablo1[[#This Row],[KULLANILABİLİRLİK]]*Tablo1[[#This Row],[KALİTE ORANI]]</f>
        <v>0.83231720092185202</v>
      </c>
    </row>
    <row r="78" spans="1:12" x14ac:dyDescent="0.3">
      <c r="A78" s="1">
        <v>46032</v>
      </c>
      <c r="B78" t="s">
        <v>7</v>
      </c>
      <c r="C78" t="s">
        <v>8</v>
      </c>
      <c r="D78">
        <v>556</v>
      </c>
      <c r="E78">
        <v>59</v>
      </c>
      <c r="F78">
        <v>306</v>
      </c>
      <c r="G78">
        <v>4</v>
      </c>
      <c r="H78">
        <f>Tablo1[[#This Row],[PLANLI_SÜRE]]-Tablo1[[#This Row],[DURUŞ_SÜRE]]</f>
        <v>497</v>
      </c>
      <c r="I78">
        <f>Tablo1[[#This Row],[TOPLAM ÜRETİM]]-Tablo1[[#This Row],[HATALI ÜRETİM]]</f>
        <v>302</v>
      </c>
      <c r="J78" s="2">
        <f>Tablo1[[#This Row],[NET SÜRE]]/Tablo1[[#This Row],[PLANLI_SÜRE]]</f>
        <v>0.89388489208633093</v>
      </c>
      <c r="K78" s="2">
        <f>Tablo1[[#This Row],[SAĞLAM ÜRETİM]]/Tablo1[[#This Row],[TOPLAM ÜRETİM]]</f>
        <v>0.98692810457516345</v>
      </c>
      <c r="L78" s="3">
        <f>Tablo1[[#This Row],[KULLANILABİLİRLİK]]*Tablo1[[#This Row],[KALİTE ORANI]]</f>
        <v>0.88220012225513711</v>
      </c>
    </row>
    <row r="79" spans="1:12" x14ac:dyDescent="0.3">
      <c r="A79" s="1">
        <v>46042</v>
      </c>
      <c r="B79" t="s">
        <v>11</v>
      </c>
      <c r="C79" t="s">
        <v>8</v>
      </c>
      <c r="D79">
        <v>557</v>
      </c>
      <c r="E79">
        <v>81</v>
      </c>
      <c r="F79">
        <v>380</v>
      </c>
      <c r="G79">
        <v>13</v>
      </c>
      <c r="H79">
        <f>Tablo1[[#This Row],[PLANLI_SÜRE]]-Tablo1[[#This Row],[DURUŞ_SÜRE]]</f>
        <v>476</v>
      </c>
      <c r="I79">
        <f>Tablo1[[#This Row],[TOPLAM ÜRETİM]]-Tablo1[[#This Row],[HATALI ÜRETİM]]</f>
        <v>367</v>
      </c>
      <c r="J79" s="2">
        <f>Tablo1[[#This Row],[NET SÜRE]]/Tablo1[[#This Row],[PLANLI_SÜRE]]</f>
        <v>0.85457809694793541</v>
      </c>
      <c r="K79" s="2">
        <f>Tablo1[[#This Row],[SAĞLAM ÜRETİM]]/Tablo1[[#This Row],[TOPLAM ÜRETİM]]</f>
        <v>0.96578947368421053</v>
      </c>
      <c r="L79" s="3">
        <f>Tablo1[[#This Row],[KULLANILABİLİRLİK]]*Tablo1[[#This Row],[KALİTE ORANI]]</f>
        <v>0.82534253047340078</v>
      </c>
    </row>
    <row r="80" spans="1:12" x14ac:dyDescent="0.3">
      <c r="A80" s="1">
        <v>46030</v>
      </c>
      <c r="B80" t="s">
        <v>7</v>
      </c>
      <c r="C80" t="s">
        <v>8</v>
      </c>
      <c r="D80">
        <v>558</v>
      </c>
      <c r="E80">
        <v>51</v>
      </c>
      <c r="F80">
        <v>439</v>
      </c>
      <c r="G80">
        <v>9</v>
      </c>
      <c r="H80">
        <f>Tablo1[[#This Row],[PLANLI_SÜRE]]-Tablo1[[#This Row],[DURUŞ_SÜRE]]</f>
        <v>507</v>
      </c>
      <c r="I80">
        <f>Tablo1[[#This Row],[TOPLAM ÜRETİM]]-Tablo1[[#This Row],[HATALI ÜRETİM]]</f>
        <v>430</v>
      </c>
      <c r="J80" s="2">
        <f>Tablo1[[#This Row],[NET SÜRE]]/Tablo1[[#This Row],[PLANLI_SÜRE]]</f>
        <v>0.90860215053763438</v>
      </c>
      <c r="K80" s="2">
        <f>Tablo1[[#This Row],[SAĞLAM ÜRETİM]]/Tablo1[[#This Row],[TOPLAM ÜRETİM]]</f>
        <v>0.97949886104783601</v>
      </c>
      <c r="L80" s="3">
        <f>Tablo1[[#This Row],[KULLANILABİLİRLİK]]*Tablo1[[#This Row],[KALİTE ORANI]]</f>
        <v>0.88997477159722727</v>
      </c>
    </row>
    <row r="81" spans="1:12" x14ac:dyDescent="0.3">
      <c r="A81" s="1">
        <v>46027</v>
      </c>
      <c r="B81" t="s">
        <v>7</v>
      </c>
      <c r="C81" t="s">
        <v>10</v>
      </c>
      <c r="D81">
        <v>559</v>
      </c>
      <c r="E81">
        <v>64</v>
      </c>
      <c r="F81">
        <v>313</v>
      </c>
      <c r="G81">
        <v>10</v>
      </c>
      <c r="H81">
        <f>Tablo1[[#This Row],[PLANLI_SÜRE]]-Tablo1[[#This Row],[DURUŞ_SÜRE]]</f>
        <v>495</v>
      </c>
      <c r="I81">
        <f>Tablo1[[#This Row],[TOPLAM ÜRETİM]]-Tablo1[[#This Row],[HATALI ÜRETİM]]</f>
        <v>303</v>
      </c>
      <c r="J81" s="2">
        <f>Tablo1[[#This Row],[NET SÜRE]]/Tablo1[[#This Row],[PLANLI_SÜRE]]</f>
        <v>0.88550983899821112</v>
      </c>
      <c r="K81" s="2">
        <f>Tablo1[[#This Row],[SAĞLAM ÜRETİM]]/Tablo1[[#This Row],[TOPLAM ÜRETİM]]</f>
        <v>0.96805111821086265</v>
      </c>
      <c r="L81" s="3">
        <f>Tablo1[[#This Row],[KULLANILABİLİRLİK]]*Tablo1[[#This Row],[KALİTE ORANI]]</f>
        <v>0.85721878982893918</v>
      </c>
    </row>
    <row r="82" spans="1:12" x14ac:dyDescent="0.3">
      <c r="A82" s="1">
        <v>46028</v>
      </c>
      <c r="B82" t="s">
        <v>9</v>
      </c>
      <c r="C82" t="s">
        <v>8</v>
      </c>
      <c r="D82">
        <v>560</v>
      </c>
      <c r="E82">
        <v>78</v>
      </c>
      <c r="F82">
        <v>477</v>
      </c>
      <c r="G82">
        <v>2</v>
      </c>
      <c r="H82">
        <f>Tablo1[[#This Row],[PLANLI_SÜRE]]-Tablo1[[#This Row],[DURUŞ_SÜRE]]</f>
        <v>482</v>
      </c>
      <c r="I82">
        <f>Tablo1[[#This Row],[TOPLAM ÜRETİM]]-Tablo1[[#This Row],[HATALI ÜRETİM]]</f>
        <v>475</v>
      </c>
      <c r="J82" s="2">
        <f>Tablo1[[#This Row],[NET SÜRE]]/Tablo1[[#This Row],[PLANLI_SÜRE]]</f>
        <v>0.86071428571428577</v>
      </c>
      <c r="K82" s="2">
        <f>Tablo1[[#This Row],[SAĞLAM ÜRETİM]]/Tablo1[[#This Row],[TOPLAM ÜRETİM]]</f>
        <v>0.99580712788259962</v>
      </c>
      <c r="L82" s="3">
        <f>Tablo1[[#This Row],[KULLANILABİLİRLİK]]*Tablo1[[#This Row],[KALİTE ORANI]]</f>
        <v>0.85710542078466612</v>
      </c>
    </row>
    <row r="83" spans="1:12" x14ac:dyDescent="0.3">
      <c r="A83" s="1">
        <v>46051</v>
      </c>
      <c r="B83" t="s">
        <v>7</v>
      </c>
      <c r="C83" t="s">
        <v>10</v>
      </c>
      <c r="D83">
        <v>561</v>
      </c>
      <c r="E83">
        <v>84</v>
      </c>
      <c r="F83">
        <v>411</v>
      </c>
      <c r="G83">
        <v>4</v>
      </c>
      <c r="H83">
        <f>Tablo1[[#This Row],[PLANLI_SÜRE]]-Tablo1[[#This Row],[DURUŞ_SÜRE]]</f>
        <v>477</v>
      </c>
      <c r="I83">
        <f>Tablo1[[#This Row],[TOPLAM ÜRETİM]]-Tablo1[[#This Row],[HATALI ÜRETİM]]</f>
        <v>407</v>
      </c>
      <c r="J83" s="2">
        <f>Tablo1[[#This Row],[NET SÜRE]]/Tablo1[[#This Row],[PLANLI_SÜRE]]</f>
        <v>0.85026737967914434</v>
      </c>
      <c r="K83" s="2">
        <f>Tablo1[[#This Row],[SAĞLAM ÜRETİM]]/Tablo1[[#This Row],[TOPLAM ÜRETİM]]</f>
        <v>0.99026763990267641</v>
      </c>
      <c r="L83" s="3">
        <f>Tablo1[[#This Row],[KULLANILABİLİRLİK]]*Tablo1[[#This Row],[KALİTE ORANI]]</f>
        <v>0.84199227136109911</v>
      </c>
    </row>
    <row r="84" spans="1:12" x14ac:dyDescent="0.3">
      <c r="A84" s="1">
        <v>46033</v>
      </c>
      <c r="B84" t="s">
        <v>11</v>
      </c>
      <c r="C84" t="s">
        <v>8</v>
      </c>
      <c r="D84">
        <v>562</v>
      </c>
      <c r="E84">
        <v>70</v>
      </c>
      <c r="F84">
        <v>434</v>
      </c>
      <c r="G84">
        <v>1</v>
      </c>
      <c r="H84">
        <f>Tablo1[[#This Row],[PLANLI_SÜRE]]-Tablo1[[#This Row],[DURUŞ_SÜRE]]</f>
        <v>492</v>
      </c>
      <c r="I84">
        <f>Tablo1[[#This Row],[TOPLAM ÜRETİM]]-Tablo1[[#This Row],[HATALI ÜRETİM]]</f>
        <v>433</v>
      </c>
      <c r="J84" s="2">
        <f>Tablo1[[#This Row],[NET SÜRE]]/Tablo1[[#This Row],[PLANLI_SÜRE]]</f>
        <v>0.8754448398576512</v>
      </c>
      <c r="K84" s="2">
        <f>Tablo1[[#This Row],[SAĞLAM ÜRETİM]]/Tablo1[[#This Row],[TOPLAM ÜRETİM]]</f>
        <v>0.99769585253456217</v>
      </c>
      <c r="L84" s="3">
        <f>Tablo1[[#This Row],[KULLANILABİLİRLİK]]*Tablo1[[#This Row],[KALİTE ORANI]]</f>
        <v>0.87342768584876251</v>
      </c>
    </row>
    <row r="85" spans="1:12" x14ac:dyDescent="0.3">
      <c r="A85" s="1">
        <v>46031</v>
      </c>
      <c r="B85" t="s">
        <v>9</v>
      </c>
      <c r="C85" t="s">
        <v>10</v>
      </c>
      <c r="D85">
        <v>563</v>
      </c>
      <c r="E85">
        <v>38</v>
      </c>
      <c r="F85">
        <v>494</v>
      </c>
      <c r="G85">
        <v>6</v>
      </c>
      <c r="H85">
        <f>Tablo1[[#This Row],[PLANLI_SÜRE]]-Tablo1[[#This Row],[DURUŞ_SÜRE]]</f>
        <v>525</v>
      </c>
      <c r="I85">
        <f>Tablo1[[#This Row],[TOPLAM ÜRETİM]]-Tablo1[[#This Row],[HATALI ÜRETİM]]</f>
        <v>488</v>
      </c>
      <c r="J85" s="2">
        <f>Tablo1[[#This Row],[NET SÜRE]]/Tablo1[[#This Row],[PLANLI_SÜRE]]</f>
        <v>0.93250444049733572</v>
      </c>
      <c r="K85" s="2">
        <f>Tablo1[[#This Row],[SAĞLAM ÜRETİM]]/Tablo1[[#This Row],[TOPLAM ÜRETİM]]</f>
        <v>0.98785425101214575</v>
      </c>
      <c r="L85" s="3">
        <f>Tablo1[[#This Row],[KULLANILABİLİRLİK]]*Tablo1[[#This Row],[KALİTE ORANI]]</f>
        <v>0.9211784756329956</v>
      </c>
    </row>
    <row r="86" spans="1:12" x14ac:dyDescent="0.3">
      <c r="A86" s="1">
        <v>46049</v>
      </c>
      <c r="B86" t="s">
        <v>9</v>
      </c>
      <c r="C86" t="s">
        <v>10</v>
      </c>
      <c r="D86">
        <v>564</v>
      </c>
      <c r="E86">
        <v>24</v>
      </c>
      <c r="F86">
        <v>364</v>
      </c>
      <c r="G86">
        <v>6</v>
      </c>
      <c r="H86">
        <f>Tablo1[[#This Row],[PLANLI_SÜRE]]-Tablo1[[#This Row],[DURUŞ_SÜRE]]</f>
        <v>540</v>
      </c>
      <c r="I86">
        <f>Tablo1[[#This Row],[TOPLAM ÜRETİM]]-Tablo1[[#This Row],[HATALI ÜRETİM]]</f>
        <v>358</v>
      </c>
      <c r="J86" s="2">
        <f>Tablo1[[#This Row],[NET SÜRE]]/Tablo1[[#This Row],[PLANLI_SÜRE]]</f>
        <v>0.95744680851063835</v>
      </c>
      <c r="K86" s="2">
        <f>Tablo1[[#This Row],[SAĞLAM ÜRETİM]]/Tablo1[[#This Row],[TOPLAM ÜRETİM]]</f>
        <v>0.98351648351648346</v>
      </c>
      <c r="L86" s="3">
        <f>Tablo1[[#This Row],[KULLANILABİLİRLİK]]*Tablo1[[#This Row],[KALİTE ORANI]]</f>
        <v>0.94166471826046294</v>
      </c>
    </row>
    <row r="87" spans="1:12" x14ac:dyDescent="0.3">
      <c r="A87" s="1">
        <v>46052</v>
      </c>
      <c r="B87" t="s">
        <v>7</v>
      </c>
      <c r="C87" t="s">
        <v>10</v>
      </c>
      <c r="D87">
        <v>565</v>
      </c>
      <c r="E87">
        <v>61</v>
      </c>
      <c r="F87">
        <v>480</v>
      </c>
      <c r="G87">
        <v>8</v>
      </c>
      <c r="H87">
        <f>Tablo1[[#This Row],[PLANLI_SÜRE]]-Tablo1[[#This Row],[DURUŞ_SÜRE]]</f>
        <v>504</v>
      </c>
      <c r="I87">
        <f>Tablo1[[#This Row],[TOPLAM ÜRETİM]]-Tablo1[[#This Row],[HATALI ÜRETİM]]</f>
        <v>472</v>
      </c>
      <c r="J87" s="2">
        <f>Tablo1[[#This Row],[NET SÜRE]]/Tablo1[[#This Row],[PLANLI_SÜRE]]</f>
        <v>0.89203539823008848</v>
      </c>
      <c r="K87" s="2">
        <f>Tablo1[[#This Row],[SAĞLAM ÜRETİM]]/Tablo1[[#This Row],[TOPLAM ÜRETİM]]</f>
        <v>0.98333333333333328</v>
      </c>
      <c r="L87" s="3">
        <f>Tablo1[[#This Row],[KULLANILABİLİRLİK]]*Tablo1[[#This Row],[KALİTE ORANI]]</f>
        <v>0.87716814159292034</v>
      </c>
    </row>
    <row r="88" spans="1:12" x14ac:dyDescent="0.3">
      <c r="A88" s="1">
        <v>46029</v>
      </c>
      <c r="B88" t="s">
        <v>11</v>
      </c>
      <c r="C88" t="s">
        <v>10</v>
      </c>
      <c r="D88">
        <v>566</v>
      </c>
      <c r="E88">
        <v>51</v>
      </c>
      <c r="F88">
        <v>385</v>
      </c>
      <c r="G88">
        <v>11</v>
      </c>
      <c r="H88">
        <f>Tablo1[[#This Row],[PLANLI_SÜRE]]-Tablo1[[#This Row],[DURUŞ_SÜRE]]</f>
        <v>515</v>
      </c>
      <c r="I88">
        <f>Tablo1[[#This Row],[TOPLAM ÜRETİM]]-Tablo1[[#This Row],[HATALI ÜRETİM]]</f>
        <v>374</v>
      </c>
      <c r="J88" s="2">
        <f>Tablo1[[#This Row],[NET SÜRE]]/Tablo1[[#This Row],[PLANLI_SÜRE]]</f>
        <v>0.90989399293286222</v>
      </c>
      <c r="K88" s="2">
        <f>Tablo1[[#This Row],[SAĞLAM ÜRETİM]]/Tablo1[[#This Row],[TOPLAM ÜRETİM]]</f>
        <v>0.97142857142857142</v>
      </c>
      <c r="L88" s="3">
        <f>Tablo1[[#This Row],[KULLANILABİLİRLİK]]*Tablo1[[#This Row],[KALİTE ORANI]]</f>
        <v>0.88389702170620899</v>
      </c>
    </row>
    <row r="89" spans="1:12" x14ac:dyDescent="0.3">
      <c r="A89" s="1">
        <v>46043</v>
      </c>
      <c r="B89" t="s">
        <v>7</v>
      </c>
      <c r="C89" t="s">
        <v>8</v>
      </c>
      <c r="D89">
        <v>567</v>
      </c>
      <c r="E89">
        <v>45</v>
      </c>
      <c r="F89">
        <v>500</v>
      </c>
      <c r="G89">
        <v>1</v>
      </c>
      <c r="H89">
        <f>Tablo1[[#This Row],[PLANLI_SÜRE]]-Tablo1[[#This Row],[DURUŞ_SÜRE]]</f>
        <v>522</v>
      </c>
      <c r="I89">
        <f>Tablo1[[#This Row],[TOPLAM ÜRETİM]]-Tablo1[[#This Row],[HATALI ÜRETİM]]</f>
        <v>499</v>
      </c>
      <c r="J89" s="2">
        <f>Tablo1[[#This Row],[NET SÜRE]]/Tablo1[[#This Row],[PLANLI_SÜRE]]</f>
        <v>0.92063492063492058</v>
      </c>
      <c r="K89" s="2">
        <f>Tablo1[[#This Row],[SAĞLAM ÜRETİM]]/Tablo1[[#This Row],[TOPLAM ÜRETİM]]</f>
        <v>0.998</v>
      </c>
      <c r="L89" s="3">
        <f>Tablo1[[#This Row],[KULLANILABİLİRLİK]]*Tablo1[[#This Row],[KALİTE ORANI]]</f>
        <v>0.91879365079365072</v>
      </c>
    </row>
    <row r="90" spans="1:12" x14ac:dyDescent="0.3">
      <c r="A90" s="1">
        <v>46023</v>
      </c>
      <c r="B90" t="s">
        <v>11</v>
      </c>
      <c r="C90" t="s">
        <v>8</v>
      </c>
      <c r="D90">
        <v>568</v>
      </c>
      <c r="E90">
        <v>47</v>
      </c>
      <c r="F90">
        <v>350</v>
      </c>
      <c r="G90">
        <v>9</v>
      </c>
      <c r="H90">
        <f>Tablo1[[#This Row],[PLANLI_SÜRE]]-Tablo1[[#This Row],[DURUŞ_SÜRE]]</f>
        <v>521</v>
      </c>
      <c r="I90">
        <f>Tablo1[[#This Row],[TOPLAM ÜRETİM]]-Tablo1[[#This Row],[HATALI ÜRETİM]]</f>
        <v>341</v>
      </c>
      <c r="J90" s="2">
        <f>Tablo1[[#This Row],[NET SÜRE]]/Tablo1[[#This Row],[PLANLI_SÜRE]]</f>
        <v>0.91725352112676062</v>
      </c>
      <c r="K90" s="2">
        <f>Tablo1[[#This Row],[SAĞLAM ÜRETİM]]/Tablo1[[#This Row],[TOPLAM ÜRETİM]]</f>
        <v>0.97428571428571431</v>
      </c>
      <c r="L90" s="3">
        <f>Tablo1[[#This Row],[KULLANILABİLİRLİK]]*Tablo1[[#This Row],[KALİTE ORANI]]</f>
        <v>0.8936670020120725</v>
      </c>
    </row>
    <row r="91" spans="1:12" x14ac:dyDescent="0.3">
      <c r="A91" s="1">
        <v>46039</v>
      </c>
      <c r="B91" t="s">
        <v>11</v>
      </c>
      <c r="C91" t="s">
        <v>8</v>
      </c>
      <c r="D91">
        <v>569</v>
      </c>
      <c r="E91">
        <v>80</v>
      </c>
      <c r="F91">
        <v>345</v>
      </c>
      <c r="G91">
        <v>9</v>
      </c>
      <c r="H91">
        <f>Tablo1[[#This Row],[PLANLI_SÜRE]]-Tablo1[[#This Row],[DURUŞ_SÜRE]]</f>
        <v>489</v>
      </c>
      <c r="I91">
        <f>Tablo1[[#This Row],[TOPLAM ÜRETİM]]-Tablo1[[#This Row],[HATALI ÜRETİM]]</f>
        <v>336</v>
      </c>
      <c r="J91" s="2">
        <f>Tablo1[[#This Row],[NET SÜRE]]/Tablo1[[#This Row],[PLANLI_SÜRE]]</f>
        <v>0.85940246045694202</v>
      </c>
      <c r="K91" s="2">
        <f>Tablo1[[#This Row],[SAĞLAM ÜRETİM]]/Tablo1[[#This Row],[TOPLAM ÜRETİM]]</f>
        <v>0.97391304347826091</v>
      </c>
      <c r="L91" s="3">
        <f>Tablo1[[#This Row],[KULLANILABİLİRLİK]]*Tablo1[[#This Row],[KALİTE ORANI]]</f>
        <v>0.83698326583632621</v>
      </c>
    </row>
    <row r="92" spans="1:12" x14ac:dyDescent="0.3">
      <c r="A92" s="1">
        <v>46024</v>
      </c>
      <c r="B92" t="s">
        <v>9</v>
      </c>
      <c r="C92" t="s">
        <v>8</v>
      </c>
      <c r="D92">
        <v>570</v>
      </c>
      <c r="E92">
        <v>16</v>
      </c>
      <c r="F92">
        <v>303</v>
      </c>
      <c r="G92">
        <v>8</v>
      </c>
      <c r="H92">
        <f>Tablo1[[#This Row],[PLANLI_SÜRE]]-Tablo1[[#This Row],[DURUŞ_SÜRE]]</f>
        <v>554</v>
      </c>
      <c r="I92">
        <f>Tablo1[[#This Row],[TOPLAM ÜRETİM]]-Tablo1[[#This Row],[HATALI ÜRETİM]]</f>
        <v>295</v>
      </c>
      <c r="J92" s="2">
        <f>Tablo1[[#This Row],[NET SÜRE]]/Tablo1[[#This Row],[PLANLI_SÜRE]]</f>
        <v>0.97192982456140353</v>
      </c>
      <c r="K92" s="2">
        <f>Tablo1[[#This Row],[SAĞLAM ÜRETİM]]/Tablo1[[#This Row],[TOPLAM ÜRETİM]]</f>
        <v>0.97359735973597361</v>
      </c>
      <c r="L92" s="3">
        <f>Tablo1[[#This Row],[KULLANILABİLİRLİK]]*Tablo1[[#This Row],[KALİTE ORANI]]</f>
        <v>0.94626831104163056</v>
      </c>
    </row>
    <row r="93" spans="1:12" x14ac:dyDescent="0.3">
      <c r="A93" s="1">
        <v>46033</v>
      </c>
      <c r="B93" t="s">
        <v>7</v>
      </c>
      <c r="C93" t="s">
        <v>10</v>
      </c>
      <c r="D93">
        <v>571</v>
      </c>
      <c r="E93">
        <v>60</v>
      </c>
      <c r="F93">
        <v>382</v>
      </c>
      <c r="G93">
        <v>7</v>
      </c>
      <c r="H93">
        <f>Tablo1[[#This Row],[PLANLI_SÜRE]]-Tablo1[[#This Row],[DURUŞ_SÜRE]]</f>
        <v>511</v>
      </c>
      <c r="I93">
        <f>Tablo1[[#This Row],[TOPLAM ÜRETİM]]-Tablo1[[#This Row],[HATALI ÜRETİM]]</f>
        <v>375</v>
      </c>
      <c r="J93" s="2">
        <f>Tablo1[[#This Row],[NET SÜRE]]/Tablo1[[#This Row],[PLANLI_SÜRE]]</f>
        <v>0.8949211908931699</v>
      </c>
      <c r="K93" s="2">
        <f>Tablo1[[#This Row],[SAĞLAM ÜRETİM]]/Tablo1[[#This Row],[TOPLAM ÜRETİM]]</f>
        <v>0.98167539267015702</v>
      </c>
      <c r="L93" s="3">
        <f>Tablo1[[#This Row],[KULLANILABİLİRLİK]]*Tablo1[[#This Row],[KALİTE ORANI]]</f>
        <v>0.87852211147889714</v>
      </c>
    </row>
    <row r="94" spans="1:12" x14ac:dyDescent="0.3">
      <c r="A94" s="1">
        <v>46029</v>
      </c>
      <c r="B94" t="s">
        <v>11</v>
      </c>
      <c r="C94" t="s">
        <v>8</v>
      </c>
      <c r="D94">
        <v>572</v>
      </c>
      <c r="E94">
        <v>90</v>
      </c>
      <c r="F94">
        <v>394</v>
      </c>
      <c r="G94">
        <v>12</v>
      </c>
      <c r="H94">
        <f>Tablo1[[#This Row],[PLANLI_SÜRE]]-Tablo1[[#This Row],[DURUŞ_SÜRE]]</f>
        <v>482</v>
      </c>
      <c r="I94">
        <f>Tablo1[[#This Row],[TOPLAM ÜRETİM]]-Tablo1[[#This Row],[HATALI ÜRETİM]]</f>
        <v>382</v>
      </c>
      <c r="J94" s="2">
        <f>Tablo1[[#This Row],[NET SÜRE]]/Tablo1[[#This Row],[PLANLI_SÜRE]]</f>
        <v>0.84265734265734271</v>
      </c>
      <c r="K94" s="2">
        <f>Tablo1[[#This Row],[SAĞLAM ÜRETİM]]/Tablo1[[#This Row],[TOPLAM ÜRETİM]]</f>
        <v>0.96954314720812185</v>
      </c>
      <c r="L94" s="3">
        <f>Tablo1[[#This Row],[KULLANILABİLİRLİK]]*Tablo1[[#This Row],[KALİTE ORANI]]</f>
        <v>0.81699265201803284</v>
      </c>
    </row>
    <row r="95" spans="1:12" x14ac:dyDescent="0.3">
      <c r="A95" s="1">
        <v>46040</v>
      </c>
      <c r="B95" t="s">
        <v>7</v>
      </c>
      <c r="C95" t="s">
        <v>8</v>
      </c>
      <c r="D95">
        <v>573</v>
      </c>
      <c r="E95">
        <v>11</v>
      </c>
      <c r="F95">
        <v>313</v>
      </c>
      <c r="G95">
        <v>2</v>
      </c>
      <c r="H95">
        <f>Tablo1[[#This Row],[PLANLI_SÜRE]]-Tablo1[[#This Row],[DURUŞ_SÜRE]]</f>
        <v>562</v>
      </c>
      <c r="I95">
        <f>Tablo1[[#This Row],[TOPLAM ÜRETİM]]-Tablo1[[#This Row],[HATALI ÜRETİM]]</f>
        <v>311</v>
      </c>
      <c r="J95" s="2">
        <f>Tablo1[[#This Row],[NET SÜRE]]/Tablo1[[#This Row],[PLANLI_SÜRE]]</f>
        <v>0.98080279232111689</v>
      </c>
      <c r="K95" s="2">
        <f>Tablo1[[#This Row],[SAĞLAM ÜRETİM]]/Tablo1[[#This Row],[TOPLAM ÜRETİM]]</f>
        <v>0.99361022364217255</v>
      </c>
      <c r="L95" s="3">
        <f>Tablo1[[#This Row],[KULLANILABİLİRLİK]]*Tablo1[[#This Row],[KALİTE ORANI]]</f>
        <v>0.9745356818270523</v>
      </c>
    </row>
    <row r="96" spans="1:12" x14ac:dyDescent="0.3">
      <c r="A96" s="1">
        <v>46023</v>
      </c>
      <c r="B96" t="s">
        <v>9</v>
      </c>
      <c r="C96" t="s">
        <v>10</v>
      </c>
      <c r="D96">
        <v>574</v>
      </c>
      <c r="E96">
        <v>67</v>
      </c>
      <c r="F96">
        <v>488</v>
      </c>
      <c r="G96">
        <v>6</v>
      </c>
      <c r="H96">
        <f>Tablo1[[#This Row],[PLANLI_SÜRE]]-Tablo1[[#This Row],[DURUŞ_SÜRE]]</f>
        <v>507</v>
      </c>
      <c r="I96">
        <f>Tablo1[[#This Row],[TOPLAM ÜRETİM]]-Tablo1[[#This Row],[HATALI ÜRETİM]]</f>
        <v>482</v>
      </c>
      <c r="J96" s="2">
        <f>Tablo1[[#This Row],[NET SÜRE]]/Tablo1[[#This Row],[PLANLI_SÜRE]]</f>
        <v>0.88327526132404177</v>
      </c>
      <c r="K96" s="2">
        <f>Tablo1[[#This Row],[SAĞLAM ÜRETİM]]/Tablo1[[#This Row],[TOPLAM ÜRETİM]]</f>
        <v>0.98770491803278693</v>
      </c>
      <c r="L96" s="3">
        <f>Tablo1[[#This Row],[KULLANILABİLİRLİK]]*Tablo1[[#This Row],[KALİTE ORANI]]</f>
        <v>0.87241531958645113</v>
      </c>
    </row>
    <row r="97" spans="1:12" x14ac:dyDescent="0.3">
      <c r="A97" s="1">
        <v>46040</v>
      </c>
      <c r="B97" t="s">
        <v>9</v>
      </c>
      <c r="C97" t="s">
        <v>10</v>
      </c>
      <c r="D97">
        <v>575</v>
      </c>
      <c r="E97">
        <v>51</v>
      </c>
      <c r="F97">
        <v>336</v>
      </c>
      <c r="G97">
        <v>1</v>
      </c>
      <c r="H97">
        <f>Tablo1[[#This Row],[PLANLI_SÜRE]]-Tablo1[[#This Row],[DURUŞ_SÜRE]]</f>
        <v>524</v>
      </c>
      <c r="I97">
        <f>Tablo1[[#This Row],[TOPLAM ÜRETİM]]-Tablo1[[#This Row],[HATALI ÜRETİM]]</f>
        <v>335</v>
      </c>
      <c r="J97" s="2">
        <f>Tablo1[[#This Row],[NET SÜRE]]/Tablo1[[#This Row],[PLANLI_SÜRE]]</f>
        <v>0.91130434782608694</v>
      </c>
      <c r="K97" s="2">
        <f>Tablo1[[#This Row],[SAĞLAM ÜRETİM]]/Tablo1[[#This Row],[TOPLAM ÜRETİM]]</f>
        <v>0.99702380952380953</v>
      </c>
      <c r="L97" s="3">
        <f>Tablo1[[#This Row],[KULLANILABİLİRLİK]]*Tablo1[[#This Row],[KALİTE ORANI]]</f>
        <v>0.90859213250517601</v>
      </c>
    </row>
    <row r="98" spans="1:12" x14ac:dyDescent="0.3">
      <c r="A98" s="1">
        <v>46031</v>
      </c>
      <c r="B98" t="s">
        <v>9</v>
      </c>
      <c r="C98" t="s">
        <v>10</v>
      </c>
      <c r="D98">
        <v>576</v>
      </c>
      <c r="E98">
        <v>7</v>
      </c>
      <c r="F98">
        <v>485</v>
      </c>
      <c r="G98">
        <v>7</v>
      </c>
      <c r="H98">
        <f>Tablo1[[#This Row],[PLANLI_SÜRE]]-Tablo1[[#This Row],[DURUŞ_SÜRE]]</f>
        <v>569</v>
      </c>
      <c r="I98">
        <f>Tablo1[[#This Row],[TOPLAM ÜRETİM]]-Tablo1[[#This Row],[HATALI ÜRETİM]]</f>
        <v>478</v>
      </c>
      <c r="J98" s="2">
        <f>Tablo1[[#This Row],[NET SÜRE]]/Tablo1[[#This Row],[PLANLI_SÜRE]]</f>
        <v>0.98784722222222221</v>
      </c>
      <c r="K98" s="2">
        <f>Tablo1[[#This Row],[SAĞLAM ÜRETİM]]/Tablo1[[#This Row],[TOPLAM ÜRETİM]]</f>
        <v>0.9855670103092784</v>
      </c>
      <c r="L98" s="2">
        <f>Tablo1[[#This Row],[KULLANILABİLİRLİK]]*Tablo1[[#This Row],[KALİTE ORANI]]</f>
        <v>0.97358963344788096</v>
      </c>
    </row>
    <row r="99" spans="1:12" x14ac:dyDescent="0.3">
      <c r="A99" s="1">
        <v>46043</v>
      </c>
      <c r="B99" t="s">
        <v>7</v>
      </c>
      <c r="C99" t="s">
        <v>10</v>
      </c>
      <c r="D99">
        <v>577</v>
      </c>
      <c r="E99">
        <v>5</v>
      </c>
      <c r="F99">
        <v>310</v>
      </c>
      <c r="G99">
        <v>15</v>
      </c>
      <c r="H99">
        <f>Tablo1[[#This Row],[PLANLI_SÜRE]]-Tablo1[[#This Row],[DURUŞ_SÜRE]]</f>
        <v>572</v>
      </c>
      <c r="I99">
        <f>Tablo1[[#This Row],[TOPLAM ÜRETİM]]-Tablo1[[#This Row],[HATALI ÜRETİM]]</f>
        <v>295</v>
      </c>
      <c r="J99" s="2">
        <f>Tablo1[[#This Row],[NET SÜRE]]/Tablo1[[#This Row],[PLANLI_SÜRE]]</f>
        <v>0.99133448873483532</v>
      </c>
      <c r="K99" s="2">
        <f>Tablo1[[#This Row],[SAĞLAM ÜRETİM]]/Tablo1[[#This Row],[TOPLAM ÜRETİM]]</f>
        <v>0.95161290322580649</v>
      </c>
      <c r="L99" s="3">
        <f>Tablo1[[#This Row],[KULLANILABİLİRLİK]]*Tablo1[[#This Row],[KALİTE ORANI]]</f>
        <v>0.94336669089282721</v>
      </c>
    </row>
    <row r="100" spans="1:12" x14ac:dyDescent="0.3">
      <c r="A100" s="1">
        <v>46053</v>
      </c>
      <c r="B100" t="s">
        <v>11</v>
      </c>
      <c r="C100" t="s">
        <v>8</v>
      </c>
      <c r="D100">
        <v>578</v>
      </c>
      <c r="E100">
        <v>44</v>
      </c>
      <c r="F100">
        <v>339</v>
      </c>
      <c r="G100">
        <v>1</v>
      </c>
      <c r="H100">
        <f>Tablo1[[#This Row],[PLANLI_SÜRE]]-Tablo1[[#This Row],[DURUŞ_SÜRE]]</f>
        <v>534</v>
      </c>
      <c r="I100">
        <f>Tablo1[[#This Row],[TOPLAM ÜRETİM]]-Tablo1[[#This Row],[HATALI ÜRETİM]]</f>
        <v>338</v>
      </c>
      <c r="J100" s="2">
        <f>Tablo1[[#This Row],[NET SÜRE]]/Tablo1[[#This Row],[PLANLI_SÜRE]]</f>
        <v>0.92387543252595161</v>
      </c>
      <c r="K100" s="2">
        <f>Tablo1[[#This Row],[SAĞLAM ÜRETİM]]/Tablo1[[#This Row],[TOPLAM ÜRETİM]]</f>
        <v>0.99705014749262533</v>
      </c>
      <c r="L100" s="3">
        <f>Tablo1[[#This Row],[KULLANILABİLİRLİK]]*Tablo1[[#This Row],[KALİTE ORANI]]</f>
        <v>0.92115013626481312</v>
      </c>
    </row>
    <row r="101" spans="1:12" x14ac:dyDescent="0.3">
      <c r="A101" s="1">
        <v>46047</v>
      </c>
      <c r="B101" t="s">
        <v>9</v>
      </c>
      <c r="C101" t="s">
        <v>10</v>
      </c>
      <c r="D101">
        <v>579</v>
      </c>
      <c r="E101">
        <v>77</v>
      </c>
      <c r="F101">
        <v>468</v>
      </c>
      <c r="G101">
        <v>6</v>
      </c>
      <c r="H101">
        <f>Tablo1[[#This Row],[PLANLI_SÜRE]]-Tablo1[[#This Row],[DURUŞ_SÜRE]]</f>
        <v>502</v>
      </c>
      <c r="I101">
        <f>Tablo1[[#This Row],[TOPLAM ÜRETİM]]-Tablo1[[#This Row],[HATALI ÜRETİM]]</f>
        <v>462</v>
      </c>
      <c r="J101" s="2">
        <f>Tablo1[[#This Row],[NET SÜRE]]/Tablo1[[#This Row],[PLANLI_SÜRE]]</f>
        <v>0.86701208981001732</v>
      </c>
      <c r="K101" s="2">
        <f>Tablo1[[#This Row],[SAĞLAM ÜRETİM]]/Tablo1[[#This Row],[TOPLAM ÜRETİM]]</f>
        <v>0.98717948717948723</v>
      </c>
      <c r="L101" s="3">
        <f>Tablo1[[#This Row],[KULLANILABİLİRLİK]]*Tablo1[[#This Row],[KALİTE ORANI]]</f>
        <v>0.85589655019706845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B34A-5F31-45C2-8BA5-A72E5CD5B38A}">
  <dimension ref="A1"/>
  <sheetViews>
    <sheetView showGridLines="0" tabSelected="1" workbookViewId="0">
      <selection activeCell="S13" sqref="S13"/>
    </sheetView>
  </sheetViews>
  <sheetFormatPr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7ECE-D0AE-4EF6-9E87-53CE25CEFA79}">
  <dimension ref="A1:E5"/>
  <sheetViews>
    <sheetView workbookViewId="0">
      <selection activeCell="B12" sqref="B12"/>
    </sheetView>
  </sheetViews>
  <sheetFormatPr defaultRowHeight="14.4" x14ac:dyDescent="0.3"/>
  <cols>
    <col min="1" max="1" width="14.77734375" bestFit="1" customWidth="1"/>
    <col min="2" max="2" width="12.5546875" bestFit="1" customWidth="1"/>
    <col min="3" max="3" width="22.6640625" bestFit="1" customWidth="1"/>
    <col min="4" max="4" width="21.44140625" bestFit="1" customWidth="1"/>
    <col min="5" max="5" width="12.5546875" bestFit="1" customWidth="1"/>
    <col min="6" max="6" width="22.6640625" bestFit="1" customWidth="1"/>
    <col min="9" max="9" width="21.44140625" bestFit="1" customWidth="1"/>
    <col min="13" max="14" width="12.5546875" bestFit="1" customWidth="1"/>
  </cols>
  <sheetData>
    <row r="1" spans="1:5" x14ac:dyDescent="0.3">
      <c r="A1" s="4" t="s">
        <v>17</v>
      </c>
      <c r="B1" t="s">
        <v>19</v>
      </c>
      <c r="C1" t="s">
        <v>20</v>
      </c>
      <c r="D1" t="s">
        <v>21</v>
      </c>
      <c r="E1" t="s">
        <v>19</v>
      </c>
    </row>
    <row r="2" spans="1:5" x14ac:dyDescent="0.3">
      <c r="A2" s="5" t="s">
        <v>11</v>
      </c>
      <c r="B2" s="3">
        <v>0.87897399412114918</v>
      </c>
      <c r="C2" s="6">
        <v>21169</v>
      </c>
      <c r="D2" s="6">
        <v>377</v>
      </c>
      <c r="E2" s="3">
        <v>0.89222610622063525</v>
      </c>
    </row>
    <row r="3" spans="1:5" x14ac:dyDescent="0.3">
      <c r="A3" s="5" t="s">
        <v>9</v>
      </c>
      <c r="B3" s="3">
        <v>0.89840914773653535</v>
      </c>
    </row>
    <row r="4" spans="1:5" x14ac:dyDescent="0.3">
      <c r="A4" s="5" t="s">
        <v>7</v>
      </c>
      <c r="B4" s="3">
        <v>0.90029854402515563</v>
      </c>
    </row>
    <row r="5" spans="1:5" x14ac:dyDescent="0.3">
      <c r="A5" s="5" t="s">
        <v>18</v>
      </c>
      <c r="B5" s="3">
        <v>0.89222610622063558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DATABASE</vt:lpstr>
      <vt:lpstr>DASHBOARD</vt:lpstr>
      <vt:lpstr>ANALİZ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Mümin İCİ</dc:creator>
  <cp:lastModifiedBy>Mümin İCİ</cp:lastModifiedBy>
  <dcterms:created xsi:type="dcterms:W3CDTF">2026-01-29T11:13:19Z</dcterms:created>
  <dcterms:modified xsi:type="dcterms:W3CDTF">2026-01-29T17:52:37Z</dcterms:modified>
</cp:coreProperties>
</file>